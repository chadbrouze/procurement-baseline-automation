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sheet1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5.xml" ContentType="application/vnd.openxmlformats-officedocument.spreadsheetml.comments+xml"/>
  <Override PartName="/xl/comments7.xml" ContentType="application/vnd.openxmlformats-officedocument.spreadsheetml.comments+xml"/>
  <Override PartName="/xl/comments12.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Overview of workbook" sheetId="1" state="visible" r:id="rId3"/>
    <sheet name="Summary - Lives per pound" sheetId="2" state="visible" r:id="rId4"/>
    <sheet name="Milk solids proportion" sheetId="3" state="visible" r:id="rId5"/>
    <sheet name="Overall Estimates" sheetId="4" state="visible" r:id="rId6"/>
    <sheet name="Fish and shellfish calculation" sheetId="5" state="visible" r:id="rId7"/>
    <sheet name="Feed fish" sheetId="6" state="visible" r:id="rId8"/>
    <sheet name="Mortality" sheetId="7" state="visible" r:id="rId9"/>
    <sheet name="FAO livestock data U.S." sheetId="8" state="visible" r:id="rId10"/>
    <sheet name="Percent retail from FAO yield" sheetId="9" state="visible" r:id="rId11"/>
    <sheet name="Fishcount fish weights" sheetId="10" state="visible" r:id="rId12"/>
    <sheet name="Elasticity adjustments" sheetId="11" state="visible" r:id="rId13"/>
    <sheet name="Days of their lives" sheetId="12" state="visible" r:id="rId14"/>
  </sheets>
  <definedNames>
    <definedName function="false" hidden="false" name="_xlfn_IFERROR" vbProcedure="false">NA()</definedName>
  </definedNames>
  <calcPr iterateCount="100" refMode="A1" iterate="false" iterateDelta="0.0001"/>
  <extLst>
    <ext xmlns:loext="http://schemas.libreoffice.org/" uri="{7626C862-2A13-11E5-B345-FEFF819CDC9F}">
      <loext:extCalcPr stringRefSyntax="CalcA1"/>
    </ext>
  </extLst>
</workbook>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
ID#AAAAnEcZ5i0
    (2022-12-23 20:51:51)
This row applies only to dairy and eggs to calculate the total product produced over the lifetime of the animal (calculated as the yield per animal (row 5) multiplied by the years producing product (row 6). For the other animal products, we have assumed a value of 1 for this row, as the product per life is simply equal to the yield per animal.</t>
        </r>
      </text>
    </comment>
    <comment ref="A10" authorId="0">
      <text>
        <r>
          <rPr>
            <sz val="10"/>
            <rFont val="Arial"/>
            <family val="2"/>
          </rPr>
          <t xml:space="preserve">======
ID#AAAAnEcZ5hU
    (2022-12-23 20:51:51)
Calculated as the total edible weight per direct life divided by the total number of lives (direct and indirect)</t>
        </r>
      </text>
    </comment>
    <comment ref="B5" authorId="0">
      <text>
        <r>
          <rPr>
            <sz val="10"/>
            <rFont val="Arial"/>
            <family val="2"/>
          </rPr>
          <t xml:space="preserve">USA 2023 FAOSTAT
</t>
        </r>
      </text>
    </comment>
    <comment ref="B6" authorId="0">
      <text>
        <r>
          <rPr>
            <sz val="10"/>
            <rFont val="Arial"/>
            <family val="2"/>
          </rPr>
          <t xml:space="preserve">======
ID#AAAAnEcZ5j4
    (2022-12-23 20:51:52)
Not applicable, 1 assumed (see comment in cell A6)</t>
        </r>
      </text>
    </comment>
    <comment ref="D6" authorId="0">
      <text>
        <r>
          <rPr>
            <sz val="10"/>
            <rFont val="Arial"/>
            <family val="2"/>
          </rPr>
          <t xml:space="preserve">======
ID#AAAAnEcZ5ls
    (2022-12-23 20:51:52)
Not applicable, 1 assumed (see comment in cell A6)</t>
        </r>
      </text>
    </comment>
    <comment ref="F6" authorId="0">
      <text>
        <r>
          <rPr>
            <sz val="10"/>
            <rFont val="Arial"/>
            <family val="2"/>
          </rPr>
          <t xml:space="preserve">======
ID#AAAAnEcZ5hs
    (2022-12-23 20:51:51)
Not applicable, 1 assumed (see comment in cell A6)</t>
        </r>
      </text>
    </comment>
    <comment ref="G6" authorId="0">
      <text>
        <r>
          <rPr>
            <sz val="10"/>
            <rFont val="Arial"/>
            <family val="2"/>
          </rPr>
          <t xml:space="preserve">======
ID#AAAAnEcZ5lo
    (2022-12-23 20:51:52)
Not applicable, 1 assumed (see comment in cell A6)</t>
        </r>
      </text>
    </comment>
    <comment ref="H5" authorId="0">
      <text>
        <r>
          <rPr>
            <sz val="10"/>
            <rFont val="Arial"/>
            <family val="2"/>
          </rPr>
          <t xml:space="preserve">======
ID#AAAAnEcZ5mA
    (2022-12-23 20:51:52)
This is the annual yield per layer hen.</t>
        </r>
      </text>
    </comment>
    <comment ref="H6" authorId="0">
      <text>
        <r>
          <rPr>
            <sz val="10"/>
            <rFont val="Arial"/>
            <family val="2"/>
          </rPr>
          <t xml:space="preserve">======
ID#AAAAnEcZ5nU
"Current industry practice is to molt over 80 percent of the caged egg-type hens in the United States."</t>
        </r>
        <r>
          <rPr>
            <sz val="10"/>
            <color rgb="FF0000FF"/>
            <rFont val="Arial"/>
            <family val="2"/>
            <charset val="1"/>
          </rPr>
          <t xml:space="preserve">https://content.ces.ncsu.edu/induced-molting-of-commercial-layers</t>
        </r>
        <r>
          <rPr>
            <sz val="10"/>
            <rFont val="Arial"/>
            <family val="2"/>
            <charset val="1"/>
          </rPr>
          <t xml:space="preserve"> 
A much smaller portion are molted a second time and produce for a third cycle, with further decreased productivity</t>
        </r>
      </text>
    </comment>
    <comment ref="H10" authorId="0">
      <text>
        <r>
          <rPr>
            <sz val="10"/>
            <rFont val="Arial"/>
            <family val="2"/>
          </rPr>
          <t xml:space="preserve">======
ID#AAAAnEcZ5hE
    (2022-12-23 20:51:51)
Additional life for male chicks</t>
        </r>
      </text>
    </comment>
    <comment ref="I5" authorId="0">
      <text>
        <r>
          <rPr>
            <sz val="10"/>
            <rFont val="Arial"/>
            <family val="2"/>
          </rPr>
          <t xml:space="preserve">======
ID#AAAAnEcZ5ms
Annual yield per dairy cow for 2023 as per FAOSTAT data:
</t>
        </r>
        <r>
          <rPr>
            <b val="true"/>
            <sz val="10"/>
            <color rgb="FF000000"/>
            <rFont val="Arial"/>
            <family val="0"/>
            <charset val="1"/>
          </rPr>
          <t xml:space="preserve">http://www.fao.org/faostat/en/#data/QL</t>
        </r>
      </text>
    </comment>
    <comment ref="I6" authorId="0">
      <text>
        <r>
          <rPr>
            <sz val="10"/>
            <rFont val="Arial"/>
            <family val="2"/>
          </rPr>
          <t xml:space="preserve">======
ID#AAAAnEcZ5lk
Producing milk from age 2.5 to 5.5    (2022-12-23 20:51:52)
https://www.ciwf.org.uk/media/5235185/the-life-of-dairy-cows.pdf</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88" authorId="0">
      <text>
        <r>
          <rPr>
            <sz val="10"/>
            <rFont val="Arial"/>
            <family val="2"/>
          </rPr>
          <t xml:space="preserve">======
ID#AAAAnEcZ5jo
    (2022-12-23 20:51:51)
This is calculated as the weighted average weight of the most commonly consumed species in the US. We use the mid-point of the upper and lower bound estimates from Fishcount. See 'Fish and shellfish calculations' sheet.</t>
        </r>
      </text>
    </comment>
    <comment ref="A94" authorId="0">
      <text>
        <r>
          <rPr>
            <sz val="10"/>
            <rFont val="Arial"/>
            <family val="2"/>
          </rPr>
          <t xml:space="preserve">======
ID#AAAAnEcZ5kM
    (2022-12-23 20:51:52)
These are the most commonly consumed species of fish in the U.S. based on the sources cited above.</t>
        </r>
      </text>
    </comment>
    <comment ref="A141" authorId="0">
      <text>
        <r>
          <rPr>
            <sz val="10"/>
            <rFont val="Arial"/>
            <family val="2"/>
          </rPr>
          <t xml:space="preserve">======
ID#AAAAnEcZ5iA
    (2022-12-23 20:51:51)
We estimate the average weights of wild caught crabs in the U.S.; Fishcount does not have data on wild caught shellfish.</t>
        </r>
      </text>
    </comment>
    <comment ref="B143" authorId="0">
      <text>
        <r>
          <rPr>
            <sz val="10"/>
            <rFont val="Arial"/>
            <family val="2"/>
          </rPr>
          <t xml:space="preserve">======
ID#AAAAnEcZ5i8
    (2022-12-23 20:51:51)
Blue crabs weight 1/3lb, converted to grams</t>
        </r>
      </text>
    </comment>
    <comment ref="B144" authorId="0">
      <text>
        <r>
          <rPr>
            <sz val="10"/>
            <rFont val="Arial"/>
            <family val="2"/>
          </rPr>
          <t xml:space="preserve">======
ID#AAAAnEcZ5kI
    (2022-12-23 20:51:52)
Source suggests a range of 0.5kg to 1.35kg</t>
        </r>
      </text>
    </comment>
    <comment ref="B145" authorId="0">
      <text>
        <r>
          <rPr>
            <sz val="10"/>
            <rFont val="Arial"/>
            <family val="2"/>
          </rPr>
          <t xml:space="preserve">======
ID#AAAAnEcZ5iQ
    (2022-12-23 20:51:51)
Source says can weigh up to 2kg</t>
        </r>
      </text>
    </comment>
    <comment ref="B146" authorId="0">
      <text>
        <r>
          <rPr>
            <sz val="10"/>
            <rFont val="Arial"/>
            <family val="2"/>
          </rPr>
          <t xml:space="preserve">======
ID#AAAAnEcZ5jE
    (2022-12-23 20:51:51)
Average weight is 6 to 10lb, converted to kg</t>
        </r>
      </text>
    </comment>
    <comment ref="C95" authorId="0">
      <text>
        <r>
          <rPr>
            <sz val="10"/>
            <rFont val="Arial"/>
            <family val="2"/>
          </rPr>
          <t xml:space="preserve">======
ID#AAAAnEcZ5nw
    (2022-12-23 20:51:52)
Lower estimate of Nile tilapia used, as this is the lowest weight of all the farmed tilapia species.</t>
        </r>
      </text>
    </comment>
    <comment ref="C142" authorId="0">
      <text>
        <r>
          <rPr>
            <sz val="10"/>
            <rFont val="Arial"/>
            <family val="2"/>
          </rPr>
          <t xml:space="preserve">======
ID#AAAAnEcZ5mk
    (2022-12-23 20:51:52)
Amount caught from seafoodhealthfacts.org. We could not find data on the amount caught for snow crabs and king crabs, so of the remaining amount of crabs caught (the total minus blue crabs and dungeness crabs), we have assumed half is snow crabs and half is king crabs.</t>
        </r>
      </text>
    </comment>
    <comment ref="C147" authorId="0">
      <text>
        <r>
          <rPr>
            <sz val="10"/>
            <rFont val="Arial"/>
            <family val="2"/>
          </rPr>
          <t xml:space="preserve">======
ID#AAAAnEcZ5og
    (2022-12-23 20:51:52)
From https://www.seafoodhealthfacts.org/description-top-commercial-seafood-items/crab
"Total commercial landings of all crab species in the United States over the past decade have ranged from 275 to 350 million pounds per year"</t>
        </r>
      </text>
    </comment>
    <comment ref="D95" authorId="0">
      <text>
        <r>
          <rPr>
            <sz val="10"/>
            <rFont val="Arial"/>
            <family val="2"/>
          </rPr>
          <t xml:space="preserve">======
ID#AAAAnEcZ5nw
    (2022-12-23 20:51:52)
Lower estimate of Nile tilapia used, as this is the lowest weight of all the farmed tilapia species.</t>
        </r>
      </text>
    </comment>
    <comment ref="D96" authorId="0">
      <text>
        <r>
          <rPr>
            <sz val="10"/>
            <rFont val="Arial"/>
            <family val="2"/>
          </rPr>
          <t xml:space="preserve">======
ID#AAAAnEcZ5nw
    (2022-12-23 20:51:52)
Lower estimate of Nile tilapia used, as this is the lowest weight of all the farmed tilapia species.</t>
        </r>
      </text>
    </comment>
    <comment ref="D97" authorId="0">
      <text>
        <r>
          <rPr>
            <sz val="10"/>
            <rFont val="Arial"/>
            <family val="2"/>
          </rPr>
          <t xml:space="preserve">======
ID#AAAAnEcZ5nw
    (2022-12-23 20:51:52)
Lower estimate of Nile tilapia used, as this is the lowest weight of all the farmed tilapia species.</t>
        </r>
      </text>
    </comment>
    <comment ref="D98" authorId="0">
      <text>
        <r>
          <rPr>
            <sz val="10"/>
            <rFont val="Arial"/>
            <family val="2"/>
          </rPr>
          <t xml:space="preserve">======
ID#AAAAnEcZ5nw
    (2022-12-23 20:51:52)
Lower estimate of Nile tilapia used, as this is the lowest weight of all the farmed tilapia species.</t>
        </r>
      </text>
    </comment>
    <comment ref="D99" authorId="0">
      <text>
        <r>
          <rPr>
            <sz val="10"/>
            <rFont val="Arial"/>
            <family val="2"/>
          </rPr>
          <t xml:space="preserve">======
ID#AAAAnEcZ5nw
    (2022-12-23 20:51:52)
Lower estimate of Nile tilapia used, as this is the lowest weight of all the farmed tilapia species.</t>
        </r>
      </text>
    </comment>
    <comment ref="D100" authorId="0">
      <text>
        <r>
          <rPr>
            <sz val="10"/>
            <rFont val="Arial"/>
            <family val="2"/>
          </rPr>
          <t xml:space="preserve">======
ID#AAAAnEcZ5nw
    (2022-12-23 20:51:52)
Lower estimate of Nile tilapia used, as this is the lowest weight of all the farmed tilapia species.</t>
        </r>
      </text>
    </comment>
    <comment ref="G94" authorId="0">
      <text>
        <r>
          <rPr>
            <sz val="10"/>
            <rFont val="Arial"/>
            <family val="2"/>
          </rPr>
          <t xml:space="preserve">======
ID#AAAAnEcZ5m0
    (2022-12-23 20:51:52)
Welfare Footprint data on farmed fish mortality. This applies only to farmed fish; wild caught fish is assumed 0% as mortality in the wild is not due to human consumption.</t>
        </r>
      </text>
    </comment>
    <comment ref="H94" authorId="0">
      <text>
        <r>
          <rPr>
            <sz val="10"/>
            <rFont val="Arial"/>
            <family val="2"/>
          </rPr>
          <t xml:space="preserve">======
ID#AAAAnEcZ5oc
    (2022-12-23 20:51:52)
Calculated as the proportion of the species that are farmed multiplied by the feed fish weighting factor * the number of feed fish. The overall average is weighted by the amount of each species consumed in the U.S.</t>
        </r>
      </text>
    </comment>
    <comment ref="J94" authorId="0">
      <text>
        <r>
          <rPr>
            <sz val="10"/>
            <rFont val="Arial"/>
            <family val="2"/>
          </rPr>
          <t xml:space="preserve">======
ID#AAAAnEcZ5kk
    (2022-12-23 20:51:52)
The number of additional lives lost due to mortality per animal, calculated based on the 'Mortality rate' column. Wild caught fish is assumed 0 as mortality in the wild is not due to human consumption.</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
ID#AAAAnEcZ5kA
    (2022-12-23 20:51:52)
Page 42</t>
        </r>
      </text>
    </comment>
    <comment ref="A41" authorId="0">
      <text>
        <r>
          <rPr>
            <sz val="10"/>
            <rFont val="Arial"/>
            <family val="2"/>
          </rPr>
          <t xml:space="preserve">======
ID#AAAAnEcZ5nY
Numbers from page 67    (2022-12-23 20:51:52)
"Mortality includes birds that die and those that are culled (see above). It results from a variety of causes including
failure to adapt after hatching, infections and infectious diseases, genetic disorders, developmental defects, accidents,
and other non-infectious disorders. In well-managed flocks, the majority of deaths result from non-infectious causes.
Losses are greatest during the first week of life, but should not exceed 2%, unless poults are from either young or
very old breeders, in which case it may be as high as 4-5%. Poults from young breeders are smaller, not as developed,
and have greater difficulty starting. After the first week, mortality should be less than 0.5% weekly. Investigation of
daily mortality exceeding 0.1% or weekly mortality exceeding 1% should be done. In tom flocks, mortality gradually
increases after 16 weeks and may reach 1% per week by the time they are processed because of increased aggression
as they approach sexual maturity and musculoskeletal disorders. Total mortality depends on the type of turkey and
duration of the production cycle. Hens usually finish with total mortality of 5-6% while total tom mortality is 10-12%."</t>
        </r>
      </text>
    </comment>
    <comment ref="A45" authorId="0">
      <text>
        <r>
          <rPr>
            <sz val="10"/>
            <rFont val="Arial"/>
            <family val="2"/>
          </rPr>
          <t xml:space="preserve">======
ID#AAAAnEcZ5oM
    (2022-12-23 20:51:52)
Based on lifespan of 4-5 months: https://www.fsis.usda.gov/wps/portal/fsis/topics/food-safety-education/get-answers/food-safety-fact-sheets/poultry-preparation/food-safety-of-turkeyfrom-farm-to-table/CT_Index</t>
        </r>
      </text>
    </comment>
    <comment ref="A47" authorId="0">
      <text>
        <r>
          <rPr>
            <sz val="10"/>
            <rFont val="Arial"/>
            <family val="2"/>
          </rPr>
          <t xml:space="preserve">======
ID#AAAAnEcZ5nc
Numbers from page 67    (2022-12-23 20:51:52)
"Mortality includes birds that die and those that are culled (see above). It results from a variety of causes including
failure to adapt after hatching, infections and infectious diseases, genetic disorders, developmental defects, accidents,
and other non-infectious disorders. In well-managed flocks, the majority of deaths result from non-infectious causes.
Losses are greatest during the first week of life, but should not exceed 2%, unless poults are from either young or
very old breeders, in which case it may be as high as 4-5%. Poults from young breeders are smaller, not as developed,
and have greater difficulty starting. After the first week, mortality should be less than 0.5% weekly. Investigation of
daily mortality exceeding 0.1% or weekly mortality exceeding 1% should be done. In tom flocks, mortality gradually
increases after 16 weeks and may reach 1% per week by the time they are processed because of increased aggression
as they approach sexual maturity and musculoskeletal disorders. Total mortality depends on the type of turkey and
duration of the production cycle. Hens usually finish with total mortality of 5-6% while total tom mortality is 10-12%."</t>
        </r>
      </text>
    </comment>
    <comment ref="A59" authorId="0">
      <text>
        <r>
          <rPr>
            <sz val="10"/>
            <rFont val="Arial"/>
            <family val="2"/>
          </rPr>
          <t xml:space="preserve">======
ID#AAAAnEcZ5j0
    (2022-12-23 20:51:52)
Calves up to about 1 year or 500lb
https://beef2live.com/story-usda-cattle-terms-definitions-85-143143</t>
        </r>
      </text>
    </comment>
    <comment ref="A60" authorId="0">
      <text>
        <r>
          <rPr>
            <sz val="10"/>
            <rFont val="Arial"/>
            <family val="2"/>
          </rPr>
          <t xml:space="preserve">======
ID#AAAAnEcZ5hw
    (2022-12-23 20:51:51)
30-42 months: https://www.ams.usda.gov/grades-standards/slaughter-cattle</t>
        </r>
      </text>
    </comment>
    <comment ref="A65" authorId="0">
      <text>
        <r>
          <rPr>
            <sz val="10"/>
            <rFont val="Arial"/>
            <family val="2"/>
          </rPr>
          <t xml:space="preserve">======
ID#AAAAnEcZ5hY
    (2022-12-23 20:51:51)
https://projects.ncsu.edu/cals/an_sci/extension/dairy/202D.pdf</t>
        </r>
      </text>
    </comment>
    <comment ref="A66" authorId="0">
      <text>
        <r>
          <rPr>
            <sz val="10"/>
            <rFont val="Arial"/>
            <family val="2"/>
          </rPr>
          <t xml:space="preserve">======
ID#AAAAnEcZ5lU
Producing milk from age 2.5 to 5.5    (2022-12-23 20:51:52)
https://www.ciwf.org.uk/media/5235185/the-life-of-dairy-cows.pdf</t>
        </r>
      </text>
    </comment>
    <comment ref="A67" authorId="0">
      <text>
        <r>
          <rPr>
            <sz val="10"/>
            <rFont val="Arial"/>
            <family val="2"/>
          </rPr>
          <t xml:space="preserve">======
ID#AAAAnEcZ5kY
Producing milk from age 2.5 to 5.5    (2022-12-23 20:51:52)
https://www.ciwf.org.uk/media/5235185/the-life-of-dairy-cows.pdf</t>
        </r>
      </text>
    </comment>
    <comment ref="A86" authorId="0">
      <text>
        <r>
          <rPr>
            <sz val="10"/>
            <rFont val="Arial"/>
            <family val="2"/>
          </rPr>
          <t xml:space="preserve">======
ID#AAAAnEcZ5hY
    (2022-12-23 20:51:51)
https://projects.ncsu.edu/cals/an_sci/extension/dairy/202D.pdf</t>
        </r>
      </text>
    </comment>
    <comment ref="A87" authorId="0">
      <text>
        <r>
          <rPr>
            <sz val="10"/>
            <rFont val="Arial"/>
            <family val="2"/>
          </rPr>
          <t xml:space="preserve">======
ID#AAAAnEcZ5lU
Producing milk from age 2.5 to 5.5    (2022-12-23 20:51:52)
https://www.ciwf.org.uk/media/5235185/the-life-of-dairy-cows.pdf</t>
        </r>
      </text>
    </comment>
    <comment ref="B18" authorId="0">
      <text>
        <r>
          <rPr>
            <sz val="10"/>
            <rFont val="Arial"/>
            <family val="2"/>
          </rPr>
          <t xml:space="preserve">https://www.nationalchickencouncil.org/about-the-industry/statistics/u-s-broiler-performance/
</t>
        </r>
      </text>
    </comment>
    <comment ref="B19" authorId="0">
      <text>
        <r>
          <rPr>
            <sz val="10"/>
            <rFont val="Arial"/>
            <family val="2"/>
          </rPr>
          <t xml:space="preserve">======
ID#AAAAnEcZ5lw
    (2022-12-23 20:51:52)
Average age of death roughly midway through life; spike early and then late but otherwise flat: https://thepoultrysite.com/articles/mortality-patterns-associated-with-commercial-broiler-production
Age of death is calculated as midpoint of 7 week average lifespan: https://ask.usda.gov/s/article/How-old-are-chickens-used-for-meat</t>
        </r>
      </text>
    </comment>
    <comment ref="B24" authorId="0">
      <text>
        <r>
          <rPr>
            <sz val="10"/>
            <rFont val="Arial"/>
            <family val="2"/>
          </rPr>
          <t xml:space="preserve">======
ID#AAAAnEcZ5jw
    (2022-12-23 20:51:52)
Pre-slaughter mortality rate refers to the mortality rate up to the point of slaughter (i.e. both on pre-production phases (small chicks/brooder and grower) and during production (layer phase). Compare with 'Mortality rate (pre-production), and see note and that cell for how we use mortality rate in our analysis.</t>
        </r>
      </text>
    </comment>
    <comment ref="B28" authorId="0">
      <text>
        <r>
          <rPr>
            <sz val="10"/>
            <rFont val="Arial"/>
            <family val="2"/>
          </rPr>
          <t xml:space="preserve">======
ID#AAAAnEcZ5jQ
    (2022-12-23 20:51:51)
Overall pre-slaughter mortality rate. FAO source suggests overall rate of 20-25%, but it's quite old. More recent sources suggest 10-14%, these are also the sources we've used for other estimates so these are used here.
The breakdown is taken from the FAO source.</t>
        </r>
      </text>
    </comment>
    <comment ref="B44" authorId="0">
      <text>
        <r>
          <rPr>
            <sz val="10"/>
            <rFont val="Arial"/>
            <family val="2"/>
          </rPr>
          <t xml:space="preserve">======
ID#AAAAnEcZ5lE
From main source    (2022-12-23 20:51:52)
"Losses are greatest during the first week of life, but should not exceed 2%"</t>
        </r>
      </text>
    </comment>
    <comment ref="B45" authorId="0">
      <text>
        <r>
          <rPr>
            <sz val="10"/>
            <rFont val="Arial"/>
            <family val="2"/>
          </rPr>
          <t xml:space="preserve">======
ID#AAAAnEcZ5oY
    (2022-12-23 20:51:52)
Calculation based on overall death rate of 8% and first week death rate of 2%</t>
        </r>
      </text>
    </comment>
    <comment ref="B50" authorId="0">
      <text>
        <r>
          <rPr>
            <sz val="10"/>
            <rFont val="Arial"/>
            <family val="2"/>
          </rPr>
          <t xml:space="preserve">======
ID#AAAAnEcZ5jg
    (2022-12-23 20:51:51)
p45-46
https://www.aphis.usda.gov/animal_health/nahms/swine/downloads/swine2012/Swine2012_dr_PartI.pdf</t>
        </r>
      </text>
    </comment>
    <comment ref="B51" authorId="0">
      <text>
        <r>
          <rPr>
            <sz val="10"/>
            <rFont val="Arial"/>
            <family val="2"/>
          </rPr>
          <t xml:space="preserve">======
ID#AAAAnEcZ5k4
    (2022-12-23 20:51:52)
p71
https://www.aphis.usda.gov/animal_health/nahms/swine/downloads/swine2012/Swine2012_dr_PartI.pdf</t>
        </r>
      </text>
    </comment>
    <comment ref="B52" authorId="0">
      <text>
        <r>
          <rPr>
            <sz val="10"/>
            <rFont val="Arial"/>
            <family val="2"/>
          </rPr>
          <t xml:space="preserve">======
ID#AAAAnEcZ5oE
    (2022-12-23 20:51:52)
p86
https://www.aphis.usda.gov/animal_health/nahms/swine/downloads/swine2012/Swine2012_dr_PartI.pdf</t>
        </r>
      </text>
    </comment>
    <comment ref="B59" authorId="0">
      <text>
        <r>
          <rPr>
            <sz val="10"/>
            <rFont val="Arial"/>
            <family val="2"/>
          </rPr>
          <t xml:space="preserve">======
ID#AAAAnEcZ5lI
    (2022-12-23 20:51:52)
death loss as a percentage of calf crop, year 2015</t>
        </r>
      </text>
    </comment>
    <comment ref="B60" authorId="0">
      <text>
        <r>
          <rPr>
            <sz val="10"/>
            <rFont val="Arial"/>
            <family val="2"/>
          </rPr>
          <t xml:space="preserve">======
ID#AAAAnEcZ5gE
    (2022-12-23 20:51:51)
percentage of inventory of cattle 500 lb or more, year 2015</t>
        </r>
      </text>
    </comment>
    <comment ref="B64" authorId="0">
      <text>
        <r>
          <rPr>
            <sz val="10"/>
            <rFont val="Arial"/>
            <family val="2"/>
          </rPr>
          <t xml:space="preserve">======
ID#AAAAnEcZ5hQ
    (2022-12-23 20:51:51)
Pre-slaughter mortality rate refers to the mortality rate up to the point of slaughter (i.e. both on pre-production phases (preweaned heifer and weaned heifer) and during production (dairy cow). Compare with 'Mortality rate (pre-production), and see note and that cell for how we use mortality rate in our analysis.</t>
        </r>
      </text>
    </comment>
    <comment ref="B79" authorId="0">
      <text>
        <r>
          <rPr>
            <sz val="10"/>
            <rFont val="Arial"/>
            <family val="2"/>
          </rPr>
          <t xml:space="preserve">======
ID#AAAAnEcZ5hQ
    (2022-12-23 20:51:51)
Pre-slaughter mortality rate refers to the mortality rate up to the point of slaughter (i.e. both on pre-production phases (preweaned heifer and weaned heifer) and during production (dairy cow). Compare with 'Mortality rate (pre-production), and see note and that cell for how we use mortality rate in our analysis.</t>
        </r>
      </text>
    </comment>
    <comment ref="B85" authorId="0">
      <text>
        <r>
          <rPr>
            <sz val="10"/>
            <rFont val="Arial"/>
            <family val="2"/>
          </rPr>
          <t xml:space="preserve">======
ID#AAAAnEcZ5hQ
    (2022-12-23 20:51:51)
Pre-slaughter mortality rate refers to the mortality rate up to the point of slaughter (i.e. both on pre-production phases (preweaned heifer and weaned heifer) and during production (dairy cow). Compare with 'Mortality rate (pre-production), and see note and that cell for how we use mortality rate in our analysis.</t>
        </r>
      </text>
    </comment>
    <comment ref="C8" authorId="0">
      <text>
        <r>
          <rPr>
            <sz val="10"/>
            <rFont val="Arial"/>
            <family val="2"/>
          </rPr>
          <t xml:space="preserve">Includes one male chick killed for each female chick.</t>
        </r>
      </text>
    </comment>
    <comment ref="C49" authorId="0">
      <text>
        <r>
          <rPr>
            <sz val="10"/>
            <rFont val="Arial"/>
            <family val="2"/>
          </rPr>
          <t xml:space="preserve">======
ID#AAAAnEcZ5jU
    (2022-12-23 20:51:51)
The number of animals dying per 1000 animals. Used to calculate overall mortality rate.</t>
        </r>
      </text>
    </comment>
    <comment ref="C58" authorId="0">
      <text>
        <r>
          <rPr>
            <sz val="10"/>
            <rFont val="Arial"/>
            <family val="2"/>
          </rPr>
          <t xml:space="preserve">======
ID#AAAAnEcZ5hA
    (2022-12-23 20:51:51)
The number of animals dying per 1000 animals. Used to calculate overall mortality rate.</t>
        </r>
      </text>
    </comment>
    <comment ref="C64" authorId="0">
      <text>
        <r>
          <rPr>
            <sz val="10"/>
            <rFont val="Arial"/>
            <family val="2"/>
          </rPr>
          <t xml:space="preserve">======
ID#AAAAnEcZ5mM
    (2022-12-23 20:51:52)
The number of animals dying per 1000 animals. Used to calculate overall mortality rate.</t>
        </r>
      </text>
    </comment>
    <comment ref="C79" authorId="0">
      <text>
        <r>
          <rPr>
            <sz val="10"/>
            <rFont val="Arial"/>
            <family val="2"/>
          </rPr>
          <t xml:space="preserve">======
ID#AAAAnEcZ5mM
    (2022-12-23 20:51:52)
The number of animals dying per 1000 animals. Used to calculate overall mortality rate.</t>
        </r>
      </text>
    </comment>
    <comment ref="C85" authorId="0">
      <text>
        <r>
          <rPr>
            <sz val="10"/>
            <rFont val="Arial"/>
            <family val="2"/>
          </rPr>
          <t xml:space="preserve">======
ID#AAAAnEcZ5mM
    (2022-12-23 20:51:52)
The number of animals dying per 1000 animals. Used to calculate overall mortality rate.</t>
        </r>
      </text>
    </comment>
    <comment ref="D24" authorId="0">
      <text>
        <r>
          <rPr>
            <sz val="10"/>
            <rFont val="Arial"/>
            <family val="2"/>
          </rPr>
          <t xml:space="preserve">======
ID#AAAAnEcZ5n0
    (2022-12-23 20:51:52)
Pre-production mortality rate refers to the mortality rate before the period that the hens are producing eggs (i.e. the layer phase). Our estimate of the mortality impact of egg consumption excludes mortality during the production period, as those deaths are accounted for by the consumption of the eggs produced by those hens.</t>
        </r>
      </text>
    </comment>
    <comment ref="D27" authorId="0">
      <text>
        <r>
          <rPr>
            <sz val="10"/>
            <rFont val="Arial"/>
            <family val="2"/>
          </rPr>
          <t xml:space="preserve">======
ID#AAAAnEcZ5lc
    (2022-12-23 20:51:52)
Mortality during laying phase excluded</t>
        </r>
      </text>
    </comment>
    <comment ref="D29" authorId="0">
      <text>
        <r>
          <rPr>
            <sz val="10"/>
            <rFont val="Arial"/>
            <family val="2"/>
          </rPr>
          <t xml:space="preserve">======
ID#AAAAnEcZ5m8
    (2022-12-23 20:51:52)
Overall pre production mortality rate (excluding mortality at layer phase).</t>
        </r>
      </text>
    </comment>
    <comment ref="D49" authorId="0">
      <text>
        <r>
          <rPr>
            <sz val="10"/>
            <rFont val="Arial"/>
            <family val="2"/>
          </rPr>
          <t xml:space="preserve">======
ID#AAAAnEcZ5nQ
    (2022-12-23 20:51:52)
Assumes slaughter age is 24 weeks (mid point of 22-26 weeks, used for lifespan: https://www.ers.usda.gov/topics/animal-products/hogs-pork/sector-at-a-glance/#Loc1)
Days in each stage estimated from above and https://www.pork.org/facts/pig-farming/life-cycle-of-a-market-pig/</t>
        </r>
      </text>
    </comment>
    <comment ref="D64" authorId="0">
      <text>
        <r>
          <rPr>
            <sz val="10"/>
            <rFont val="Arial"/>
            <family val="2"/>
          </rPr>
          <t xml:space="preserve">======
ID#AAAAnEcZ5h0
    (2022-12-23 20:51:51)
Pre-production mortality rate refers to the mortality rate before the period that the cows are producing milk (i.e. the diary phase). Our estimate of the mortality impact of dairy consumption excludes mortality during the production period, as those deaths are accounted for by the consumption of the dairy produced by those cows.</t>
        </r>
      </text>
    </comment>
    <comment ref="D67" authorId="0">
      <text>
        <r>
          <rPr>
            <sz val="10"/>
            <rFont val="Arial"/>
            <family val="2"/>
          </rPr>
          <t xml:space="preserve">======
ID#AAAAnEcZ5iY
    (2022-12-23 20:51:51)
Mortality during dairy phase excluded</t>
        </r>
      </text>
    </comment>
    <comment ref="D69" authorId="0">
      <text>
        <r>
          <rPr>
            <sz val="10"/>
            <rFont val="Arial"/>
            <family val="2"/>
          </rPr>
          <t xml:space="preserve">======
ID#AAAAnEcZ5mQ
    (2022-12-23 20:51:52)
Overall mortality at pre-production (excluding mortality at dairy phase).</t>
        </r>
      </text>
    </comment>
    <comment ref="D79" authorId="0">
      <text>
        <r>
          <rPr>
            <sz val="10"/>
            <rFont val="Arial"/>
            <family val="2"/>
          </rPr>
          <t xml:space="preserve">======
ID#AAAAnEcZ5h0
    (2022-12-23 20:51:51)
Pre-production mortality rate refers to the mortality rate before the period that the cows are producing milk (i.e. the diary phase). Our estimate of the mortality impact of dairy consumption excludes mortality during the production period, as those deaths are accounted for by the consumption of the dairy produced by those cows.</t>
        </r>
      </text>
    </comment>
    <comment ref="D85" authorId="0">
      <text>
        <r>
          <rPr>
            <sz val="10"/>
            <rFont val="Arial"/>
            <family val="2"/>
          </rPr>
          <t xml:space="preserve">======
ID#AAAAnEcZ5h0
    (2022-12-23 20:51:51)
Pre-production mortality rate refers to the mortality rate before the period that the cows are producing milk (i.e. the diary phase). Our estimate of the mortality impact of dairy consumption excludes mortality during the production period, as those deaths are accounted for by the consumption of the dairy produced by those cows.</t>
        </r>
      </text>
    </comment>
    <comment ref="E28" authorId="0">
      <text>
        <r>
          <rPr>
            <sz val="10"/>
            <rFont val="Arial"/>
            <family val="2"/>
          </rPr>
          <t xml:space="preserve">======
ID#AAAAnEcZ5hk
    (2022-12-23 20:51:51)
Age of death based on pre-slaughter mortality (including mortality at layer phase)</t>
        </r>
      </text>
    </comment>
    <comment ref="E29" authorId="0">
      <text>
        <r>
          <rPr>
            <sz val="10"/>
            <rFont val="Arial"/>
            <family val="2"/>
          </rPr>
          <t xml:space="preserve">======
ID#AAAAnEcZ5kw
    (2022-12-23 20:51:52)
Age of death based on pre-production mortality (excluding mortality at layer phase)</t>
        </r>
      </text>
    </comment>
    <comment ref="E68" authorId="0">
      <text>
        <r>
          <rPr>
            <sz val="10"/>
            <rFont val="Arial"/>
            <family val="2"/>
          </rPr>
          <t xml:space="preserve">======
ID#AAAAnEcZ5n8
    (2022-12-23 20:51:52)
Including mortality at dairy phase</t>
        </r>
      </text>
    </comment>
    <comment ref="E69" authorId="0">
      <text>
        <r>
          <rPr>
            <sz val="10"/>
            <rFont val="Arial"/>
            <family val="2"/>
          </rPr>
          <t xml:space="preserve">======
ID#AAAAnEcZ5mE
    (2022-12-23 20:51:52)
Excluding mortality at dairy phase</t>
        </r>
      </text>
    </comment>
    <comment ref="F5" authorId="0">
      <text>
        <r>
          <rPr>
            <sz val="10"/>
            <rFont val="Arial"/>
            <family val="2"/>
          </rPr>
          <t xml:space="preserve">======
ID#AAAAnEcZ5iU
    (2022-12-23 20:51:51)
7 weeks: https://ask.usda.gov/s/article/How-old-are-chickens-used-for-meat</t>
        </r>
      </text>
    </comment>
    <comment ref="F6" authorId="0">
      <text>
        <r>
          <rPr>
            <sz val="10"/>
            <rFont val="Arial"/>
            <family val="2"/>
          </rPr>
          <t xml:space="preserve">======
ID#AAAAnEcZ5no
    (2022-12-23 20:51:52)
5.5 years: https://www.ciwf.org.uk/media/5235185/the-life-of-dairy-cows.pdf</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
ID#AAAAnEcZ5no
    (2022-12-23 20:51:52)
5.5 years: https://www.ciwf.org.uk/media/5235185/the-life-of-dairy-cows.pdf</t>
        </r>
      </text>
    </comment>
    <comment ref="D6" authorId="0">
      <text>
        <r>
          <rPr>
            <sz val="10"/>
            <rFont val="Arial"/>
            <family val="2"/>
          </rPr>
          <t xml:space="preserve">======
ID#AAAAnEcZ5no
    (2022-12-23 20:51:52)
5.5 years: https://www.ciwf.org.uk/media/5235185/the-life-of-dairy-cows.pdf</t>
        </r>
      </text>
    </comment>
    <comment ref="D7" authorId="0">
      <text>
        <r>
          <rPr>
            <sz val="10"/>
            <rFont val="Arial"/>
            <family val="2"/>
          </rPr>
          <t xml:space="preserve">======
ID#AAAAnEcZ5no
    (2022-12-23 20:51:52)
5.5 years: https://www.ciwf.org.uk/media/5235185/the-life-of-dairy-cows.pdf</t>
        </r>
      </text>
    </comment>
    <comment ref="D8" authorId="0">
      <text>
        <r>
          <rPr>
            <sz val="10"/>
            <rFont val="Arial"/>
            <family val="2"/>
          </rPr>
          <t xml:space="preserve">======
ID#AAAAnEcZ5no
    (2022-12-23 20:51:52)
5.5 years: https://www.ciwf.org.uk/media/5235185/the-life-of-dairy-cows.pdf</t>
        </r>
      </text>
    </comment>
    <comment ref="D9" authorId="0">
      <text>
        <r>
          <rPr>
            <sz val="10"/>
            <rFont val="Arial"/>
            <family val="2"/>
          </rPr>
          <t xml:space="preserve">======
ID#AAAAnEcZ5no
    (2022-12-23 20:51:52)
5.5 years: https://www.ciwf.org.uk/media/5235185/the-life-of-dairy-cows.pdf</t>
        </r>
      </text>
    </comment>
  </commentList>
</comments>
</file>

<file path=xl/sharedStrings.xml><?xml version="1.0" encoding="utf-8"?>
<sst xmlns="http://schemas.openxmlformats.org/spreadsheetml/2006/main" count="7043" uniqueCount="2504">
  <si>
    <t xml:space="preserve">Animal Product Impacts - Calculations Workbook</t>
  </si>
  <si>
    <t xml:space="preserve">This workbook estimates the relationship between the amounts of various animal food products consumed and the impact on animal lives. </t>
  </si>
  <si>
    <t xml:space="preserve">Worksheet descriptions</t>
  </si>
  <si>
    <r>
      <rPr>
        <b val="true"/>
        <sz val="10"/>
        <color rgb="FF000000"/>
        <rFont val="Arial"/>
        <family val="0"/>
        <charset val="1"/>
      </rPr>
      <t xml:space="preserve">Summary - Lives per pound</t>
    </r>
    <r>
      <rPr>
        <sz val="10"/>
        <color rgb="FF000000"/>
        <rFont val="Arial"/>
        <family val="0"/>
        <charset val="1"/>
      </rPr>
      <t xml:space="preserve"> - summarises the key outputs of the analysis: how many animal lives go into each pound of animal product. Two estimates are given, for direct and total (direct + indirect) lives per pound.</t>
    </r>
  </si>
  <si>
    <r>
      <rPr>
        <b val="true"/>
        <sz val="10"/>
        <color rgb="FF000000"/>
        <rFont val="Arial"/>
        <family val="0"/>
        <charset val="1"/>
      </rPr>
      <t xml:space="preserve">Overall estimates</t>
    </r>
    <r>
      <rPr>
        <sz val="10"/>
        <color rgb="FF000000"/>
        <rFont val="Arial"/>
        <family val="0"/>
        <charset val="1"/>
      </rPr>
      <t xml:space="preserve"> - carries out the overall calculations of the main outputs in the analysis (summarised in the summary sheet) using the data and estimates from the other sheets in the workbook.</t>
    </r>
  </si>
  <si>
    <r>
      <rPr>
        <b val="true"/>
        <sz val="10"/>
        <color rgb="FF000000"/>
        <rFont val="Arial"/>
        <family val="0"/>
        <charset val="1"/>
      </rPr>
      <t xml:space="preserve">Milk solids proportion –</t>
    </r>
    <r>
      <rPr>
        <sz val="10"/>
        <color rgb="FF000000"/>
        <rFont val="Arial"/>
        <family val="0"/>
        <charset val="1"/>
      </rPr>
      <t xml:space="preserve"> identifies amount of milk solids of various dairy products relative to dairy milk for purposes of allocating relative degree impacts.</t>
    </r>
  </si>
  <si>
    <r>
      <rPr>
        <b val="true"/>
        <sz val="10"/>
        <color rgb="FF000000"/>
        <rFont val="Arial"/>
        <family val="0"/>
        <charset val="1"/>
      </rPr>
      <t xml:space="preserve">Fish and shellfish calculations</t>
    </r>
    <r>
      <rPr>
        <sz val="10"/>
        <color rgb="FF000000"/>
        <rFont val="Arial"/>
        <family val="0"/>
        <charset val="1"/>
      </rPr>
      <t xml:space="preserve"> – includes estimated weights of fish and shellfish, and the additional lives cost due to feed fish and bycatch using data from 'Feed fish and bycatch calculations' sheet, and additional lives due to mortality. Also includes Welfare Footprint Data including finfish lifespan and mortality estimates from welfarefootprint.org</t>
    </r>
  </si>
  <si>
    <r>
      <rPr>
        <b val="true"/>
        <sz val="10"/>
        <color rgb="FF000000"/>
        <rFont val="Arial"/>
        <family val="0"/>
        <charset val="1"/>
      </rPr>
      <t xml:space="preserve">Feed fish </t>
    </r>
    <r>
      <rPr>
        <sz val="10"/>
        <color rgb="FF000000"/>
        <rFont val="Arial"/>
        <family val="0"/>
        <charset val="1"/>
      </rPr>
      <t xml:space="preserve">- estimates the average number of feed fish per farmed finfish, shellfish, pig, broiler chicken and layer hen.</t>
    </r>
  </si>
  <si>
    <r>
      <rPr>
        <b val="true"/>
        <sz val="10"/>
        <color rgb="FF000000"/>
        <rFont val="Arial"/>
        <family val="0"/>
        <charset val="1"/>
      </rPr>
      <t xml:space="preserve">Mortality</t>
    </r>
    <r>
      <rPr>
        <sz val="10"/>
        <color rgb="FF000000"/>
        <rFont val="Arial"/>
        <family val="0"/>
        <charset val="1"/>
      </rPr>
      <t xml:space="preserve"> - estimates the mortality rates and additional lives per animal due to mortality for livestock.</t>
    </r>
  </si>
  <si>
    <r>
      <rPr>
        <b val="true"/>
        <sz val="10"/>
        <color rgb="FF000000"/>
        <rFont val="Arial"/>
        <family val="0"/>
        <charset val="1"/>
      </rPr>
      <t xml:space="preserve">FAO livestock data </t>
    </r>
    <r>
      <rPr>
        <sz val="10"/>
        <color rgb="FF000000"/>
        <rFont val="Arial"/>
        <family val="0"/>
        <charset val="1"/>
      </rPr>
      <t xml:space="preserve">- contains data from FAO on the primary weights of livestock in the U.S.</t>
    </r>
  </si>
  <si>
    <r>
      <rPr>
        <b val="true"/>
        <sz val="10"/>
        <color rgb="FF000000"/>
        <rFont val="Arial"/>
        <family val="0"/>
        <charset val="1"/>
      </rPr>
      <t xml:space="preserve">USDA food loss data </t>
    </r>
    <r>
      <rPr>
        <sz val="10"/>
        <color rgb="FF000000"/>
        <rFont val="Arial"/>
        <family val="0"/>
        <charset val="1"/>
      </rPr>
      <t xml:space="preserve">- contains data from USDA on the proportion of food lost from primary to consumption stage.</t>
    </r>
  </si>
  <si>
    <t xml:space="preserve">Elasticity adjustments – for potential future use to estimate effects with attention to elasticity of demand. Would need more research and differentiation among aquatic animals, etc.  than is available here at this stage</t>
  </si>
  <si>
    <t xml:space="preserve">Days of their lives – focus on number of animals days in confinement. Not ready for use.</t>
  </si>
  <si>
    <t xml:space="preserve">Lives per pound estimates</t>
  </si>
  <si>
    <t xml:space="preserve">Animal Product Type</t>
  </si>
  <si>
    <t xml:space="preserve">Direct lives per pound purchased for retail sale</t>
  </si>
  <si>
    <t xml:space="preserve">Total lives per pound purchased for retail sale (direct + indirect)</t>
  </si>
  <si>
    <t xml:space="preserve">Direct lives per kilogram for retail sale</t>
  </si>
  <si>
    <t xml:space="preserve">Total lives per kilogram purchased for retail sale (direct + indirect)</t>
  </si>
  <si>
    <t xml:space="preserve">Animal fats</t>
  </si>
  <si>
    <t xml:space="preserve">Beef</t>
  </si>
  <si>
    <t xml:space="preserve">Chicken</t>
  </si>
  <si>
    <t xml:space="preserve">Eggs</t>
  </si>
  <si>
    <t xml:space="preserve">Goat</t>
  </si>
  <si>
    <t xml:space="preserve">Lamb/mutton</t>
  </si>
  <si>
    <t xml:space="preserve">Pork</t>
  </si>
  <si>
    <t xml:space="preserve">Turkey</t>
  </si>
  <si>
    <t xml:space="preserve">Unidentified meat</t>
  </si>
  <si>
    <t xml:space="preserve">Dairy milk</t>
  </si>
  <si>
    <t xml:space="preserve">Butter</t>
  </si>
  <si>
    <t xml:space="preserve">Buttermilk</t>
  </si>
  <si>
    <t xml:space="preserve">Cheese</t>
  </si>
  <si>
    <t xml:space="preserve">Concentrated milk</t>
  </si>
  <si>
    <t xml:space="preserve">Cream</t>
  </si>
  <si>
    <t xml:space="preserve">Ghee</t>
  </si>
  <si>
    <t xml:space="preserve">Ice cream</t>
  </si>
  <si>
    <t xml:space="preserve">Lactose powder</t>
  </si>
  <si>
    <t xml:space="preserve">Low fat yogurt</t>
  </si>
  <si>
    <t xml:space="preserve">Milk powder</t>
  </si>
  <si>
    <t xml:space="preserve">Skim milk</t>
  </si>
  <si>
    <t xml:space="preserve">Whey powder</t>
  </si>
  <si>
    <t xml:space="preserve">Yogurt</t>
  </si>
  <si>
    <t xml:space="preserve">anchovies</t>
  </si>
  <si>
    <t xml:space="preserve">bass</t>
  </si>
  <si>
    <t xml:space="preserve">bass (wild caught)</t>
  </si>
  <si>
    <t xml:space="preserve">bass (farmed)</t>
  </si>
  <si>
    <t xml:space="preserve">carp</t>
  </si>
  <si>
    <t xml:space="preserve">carp (silver or bighead carp)</t>
  </si>
  <si>
    <t xml:space="preserve">catfish</t>
  </si>
  <si>
    <t xml:space="preserve">catfish (wild caught)</t>
  </si>
  <si>
    <t xml:space="preserve">catfish (farmed)</t>
  </si>
  <si>
    <t xml:space="preserve">cod</t>
  </si>
  <si>
    <t xml:space="preserve">congers</t>
  </si>
  <si>
    <t xml:space="preserve">crab</t>
  </si>
  <si>
    <t xml:space="preserve">fish (finfish)</t>
  </si>
  <si>
    <t xml:space="preserve">flounder</t>
  </si>
  <si>
    <t xml:space="preserve">haddock</t>
  </si>
  <si>
    <t xml:space="preserve">hake</t>
  </si>
  <si>
    <t xml:space="preserve">halibut</t>
  </si>
  <si>
    <t xml:space="preserve">herring</t>
  </si>
  <si>
    <t xml:space="preserve">jacks</t>
  </si>
  <si>
    <t xml:space="preserve">lobster</t>
  </si>
  <si>
    <t xml:space="preserve">mahi-mahi</t>
  </si>
  <si>
    <t xml:space="preserve">milkfish</t>
  </si>
  <si>
    <t xml:space="preserve">milkfish (wild caught)</t>
  </si>
  <si>
    <t xml:space="preserve">milkfish (farmed)</t>
  </si>
  <si>
    <t xml:space="preserve">mullets</t>
  </si>
  <si>
    <t xml:space="preserve">pollock</t>
  </si>
  <si>
    <t xml:space="preserve">redfish</t>
  </si>
  <si>
    <t xml:space="preserve">redfish (wild caught)</t>
  </si>
  <si>
    <t xml:space="preserve">redfish (farmed)</t>
  </si>
  <si>
    <t xml:space="preserve">salmon</t>
  </si>
  <si>
    <t xml:space="preserve">salmon (wild caught)</t>
  </si>
  <si>
    <t xml:space="preserve">salmon (farmed)</t>
  </si>
  <si>
    <t xml:space="preserve">sardines</t>
  </si>
  <si>
    <t xml:space="preserve">sauries</t>
  </si>
  <si>
    <t xml:space="preserve">shrimp</t>
  </si>
  <si>
    <t xml:space="preserve">shrimp (wild caught)</t>
  </si>
  <si>
    <t xml:space="preserve">shrimp (farmed)</t>
  </si>
  <si>
    <t xml:space="preserve">smelt</t>
  </si>
  <si>
    <t xml:space="preserve">sole</t>
  </si>
  <si>
    <t xml:space="preserve">squid or cuttlefish or octopus</t>
  </si>
  <si>
    <t xml:space="preserve">tilapia</t>
  </si>
  <si>
    <t xml:space="preserve">tilapia (wild caught)</t>
  </si>
  <si>
    <t xml:space="preserve">tilapia (farmed)</t>
  </si>
  <si>
    <t xml:space="preserve">trout</t>
  </si>
  <si>
    <t xml:space="preserve">trout (wild caught)</t>
  </si>
  <si>
    <t xml:space="preserve">trout (farmed)</t>
  </si>
  <si>
    <t xml:space="preserve">tuna (skipjack, yellowfin, albacore)</t>
  </si>
  <si>
    <t xml:space="preserve">bluefin tuna</t>
  </si>
  <si>
    <t xml:space="preserve">Milk Solids relative to milk</t>
  </si>
  <si>
    <t xml:space="preserve">Feitz, A.J., Lundie, S., Dennien, G. et al. Generation of an Industry-specific Physico-chemical Allocation Matrix. Application in the Dairy Industry and Implications for Systems Analysis (9 pp). Int J Life Cycle Assessment 12, 109–117 (2007).  </t>
  </si>
  <si>
    <t xml:space="preserve">Milk solids ratio</t>
  </si>
  <si>
    <t xml:space="preserve">kgs per life relative to milk</t>
  </si>
  <si>
    <t xml:space="preserve">Feitz et al</t>
  </si>
  <si>
    <t xml:space="preserve">dairy milk</t>
  </si>
  <si>
    <t xml:space="preserve">Table 2</t>
  </si>
  <si>
    <t xml:space="preserve">butter</t>
  </si>
  <si>
    <t xml:space="preserve">buttermilk</t>
  </si>
  <si>
    <t xml:space="preserve">Table 1</t>
  </si>
  <si>
    <t xml:space="preserve">cheese</t>
  </si>
  <si>
    <t xml:space="preserve">concentrated milk</t>
  </si>
  <si>
    <t xml:space="preserve">Various</t>
  </si>
  <si>
    <t xml:space="preserve">cream</t>
  </si>
  <si>
    <t xml:space="preserve">ghee</t>
  </si>
  <si>
    <t xml:space="preserve">ice cream</t>
  </si>
  <si>
    <t xml:space="preserve">lactose powder</t>
  </si>
  <si>
    <t xml:space="preserve">low fat yogurt</t>
  </si>
  <si>
    <t xml:space="preserve">milk powder</t>
  </si>
  <si>
    <t xml:space="preserve">skim milk</t>
  </si>
  <si>
    <t xml:space="preserve">whey powder</t>
  </si>
  <si>
    <t xml:space="preserve">yogurt</t>
  </si>
  <si>
    <t xml:space="preserve">Overall estimates: Lives per kilogram and per pound of product</t>
  </si>
  <si>
    <t xml:space="preserve">Livestock estimates  (for fish and shellfish estimates, see fish and shellfish worksheet)</t>
  </si>
  <si>
    <t xml:space="preserve">Lamb/Mutton</t>
  </si>
  <si>
    <t xml:space="preserve">Yogurt </t>
  </si>
  <si>
    <t xml:space="preserve">Lactose Powder</t>
  </si>
  <si>
    <t xml:space="preserve">Skim Milk</t>
  </si>
  <si>
    <t xml:space="preserve">Yield/Carcass Weight per animal, FAO, 2025, (kilograms)</t>
  </si>
  <si>
    <t xml:space="preserve">Years producing product (eggs and dairy)</t>
  </si>
  <si>
    <t xml:space="preserve">Loss adjusted proportion (primary to retail weight)</t>
  </si>
  <si>
    <t xml:space="preserve">Milk solids adjustment relative to milk</t>
  </si>
  <si>
    <t xml:space="preserve">Total retail weight per life (kilograms)</t>
  </si>
  <si>
    <t xml:space="preserve">Total retail weight per life including indirect effects (kilograms)</t>
  </si>
  <si>
    <t xml:space="preserve">Beef/Dairy lives allocation adjustment</t>
  </si>
  <si>
    <t xml:space="preserve">lives per kilogram of consumable product</t>
  </si>
  <si>
    <t xml:space="preserve">lives per kilogram of consumable product including indirect effects</t>
  </si>
  <si>
    <t xml:space="preserve">Direct lives per pound consumed</t>
  </si>
  <si>
    <t xml:space="preserve">Total lives per pound consumed (direct + indirect)</t>
  </si>
  <si>
    <t xml:space="preserve">Milk solids proportion</t>
  </si>
  <si>
    <t xml:space="preserve">DIRECT AND TOTAL LIVES CALCULATION PROCESS </t>
  </si>
  <si>
    <t xml:space="preserve">Live weight kg</t>
  </si>
  <si>
    <t xml:space="preserve">From Gephart et al:
Edible Percentage (%)</t>
  </si>
  <si>
    <t xml:space="preserve">From IFFO.com  FIFO</t>
  </si>
  <si>
    <t xml:space="preserve">Assuming 26.6054 fish per kg of FMFO (see E108) &amp; adjusted by column I</t>
  </si>
  <si>
    <t xml:space="preserve">Fed fish * 1.123 for slippage and bycatch mortality accompanying catch of fish for fish feed.</t>
  </si>
  <si>
    <t xml:space="preserve">Fish used per kg edible of purchased fish from aquaculture F/(B*C)</t>
  </si>
  <si>
    <t xml:space="preserve">Fed fish per lb edible G*.453692</t>
  </si>
  <si>
    <t xml:space="preserve">Portion of US consumption from aquaculture</t>
  </si>
  <si>
    <t xml:space="preserve">Lives per lb direct 1/(B*C*2.20462)</t>
  </si>
  <si>
    <t xml:space="preserve">mortality</t>
  </si>
  <si>
    <t xml:space="preserve">additional lives per lb direct due to mortality</t>
  </si>
  <si>
    <t xml:space="preserve">Lives per lb total 
Farmed fish: =(H+I+K)
Wild fish: =J*1.08 for bycatch
Trapped cephalopods, lobster, crab: =J*2 for bait + bycatch</t>
  </si>
  <si>
    <t xml:space="preserve">bass (wild-caught)</t>
  </si>
  <si>
    <t xml:space="preserve">carp silver or bighead carp</t>
  </si>
  <si>
    <t xml:space="preserve">catfish (wild-caught)</t>
  </si>
  <si>
    <t xml:space="preserve">+1 life per life for trap bait plus bycatch</t>
  </si>
  <si>
    <t xml:space="preserve">fish (finfish) cfp/faunalytics</t>
  </si>
  <si>
    <t xml:space="preserve">milkfish (wild-caught)</t>
  </si>
  <si>
    <t xml:space="preserve">uses mix of Welfare Footprint’s tilapia &amp; seabream for mortality</t>
  </si>
  <si>
    <t xml:space="preserve">uses Welfare Footprint’s mangrove red snapper mortality</t>
  </si>
  <si>
    <t xml:space="preserve">redfish (wild-caught)</t>
  </si>
  <si>
    <t xml:space="preserve">Salmon</t>
  </si>
  <si>
    <t xml:space="preserve">mix 76% farm and 24% wild salmon</t>
  </si>
  <si>
    <t xml:space="preserve">salmon (wild-caught)</t>
  </si>
  <si>
    <t xml:space="preserve">wild</t>
  </si>
  <si>
    <t xml:space="preserve">farmed</t>
  </si>
  <si>
    <t xml:space="preserve">shrimp (wild-caught)</t>
  </si>
  <si>
    <t xml:space="preserve">tilapia (wild-caught)</t>
  </si>
  <si>
    <t xml:space="preserve">trout (wild-caught)</t>
  </si>
  <si>
    <t xml:space="preserve">live wt</t>
  </si>
  <si>
    <t xml:space="preserve">Edible %</t>
  </si>
  <si>
    <t xml:space="preserve">FIFO</t>
  </si>
  <si>
    <t xml:space="preserve">above: total fed fish</t>
  </si>
  <si>
    <t xml:space="preserve">*1.123</t>
  </si>
  <si>
    <t xml:space="preserve">fish per kg edible </t>
  </si>
  <si>
    <t xml:space="preserve">per lb</t>
  </si>
  <si>
    <t xml:space="preserve">lives direct</t>
  </si>
  <si>
    <t xml:space="preserve">additional lives mortality</t>
  </si>
  <si>
    <t xml:space="preserve">LIVEs per lb total  Farmed fish: =(H+I+K) Wild fish: =J*1.08 for bycatch Trapped cephalopods, lobster, crab: =J*2 for bait, bycatch</t>
  </si>
  <si>
    <t xml:space="preserve">← LABELS FOR ABOVE COLUMNS</t>
  </si>
  <si>
    <t xml:space="preserve">Welfare Footprint</t>
  </si>
  <si>
    <t xml:space="preserve">https://welfarefootprint.org/welfare-of-farmed-fish/</t>
  </si>
  <si>
    <t xml:space="preserve">Popular Name</t>
  </si>
  <si>
    <t xml:space="preserve">Slaughter Age months (mid-point)</t>
  </si>
  <si>
    <t xml:space="preserve">Slaughter Age midpoint days (months * 30.42)</t>
  </si>
  <si>
    <t xml:space="preserve">Total Mortality (fingerlins+growers) (mid-point)</t>
  </si>
  <si>
    <t xml:space="preserve">days captive</t>
  </si>
  <si>
    <t xml:space="preserve">Bighead carp</t>
  </si>
  <si>
    <t xml:space="preserve">Silver carp</t>
  </si>
  <si>
    <t xml:space="preserve">Silver and bighead carp</t>
  </si>
  <si>
    <t xml:space="preserve">Catla (South Asian carp)</t>
  </si>
  <si>
    <t xml:space="preserve">Common carp</t>
  </si>
  <si>
    <t xml:space="preserve">Grass carp</t>
  </si>
  <si>
    <t xml:space="preserve">Mrigal carp</t>
  </si>
  <si>
    <t xml:space="preserve">Roho labeo (carp)</t>
  </si>
  <si>
    <t xml:space="preserve">Seven types carp</t>
  </si>
  <si>
    <t xml:space="preserve">African sharptooth catfish</t>
  </si>
  <si>
    <t xml:space="preserve">Pangas catfish</t>
  </si>
  <si>
    <t xml:space="preserve">Yellow catfish</t>
  </si>
  <si>
    <t xml:space="preserve">Three types catfish</t>
  </si>
  <si>
    <t xml:space="preserve">Atlantic Salmon</t>
  </si>
  <si>
    <t xml:space="preserve">Coho Salmon</t>
  </si>
  <si>
    <t xml:space="preserve">Two types of salmon</t>
  </si>
  <si>
    <t xml:space="preserve">Rainbow trout</t>
  </si>
  <si>
    <t xml:space="preserve">Trout</t>
  </si>
  <si>
    <t xml:space="preserve">Nile tilapia</t>
  </si>
  <si>
    <t xml:space="preserve">Tilapia</t>
  </si>
  <si>
    <t xml:space="preserve">Atlantic cod</t>
  </si>
  <si>
    <t xml:space="preserve">European seabass</t>
  </si>
  <si>
    <t xml:space="preserve">Striped bass</t>
  </si>
  <si>
    <t xml:space="preserve">Bass</t>
  </si>
  <si>
    <t xml:space="preserve">Barramundi</t>
  </si>
  <si>
    <t xml:space="preserve">Cobia</t>
  </si>
  <si>
    <t xml:space="preserve">European perch</t>
  </si>
  <si>
    <t xml:space="preserve">Gilthead seabream</t>
  </si>
  <si>
    <t xml:space="preserve">John's Snapper</t>
  </si>
  <si>
    <t xml:space="preserve">Mangrove red snapper</t>
  </si>
  <si>
    <t xml:space="preserve">Meagre</t>
  </si>
  <si>
    <t xml:space="preserve">Pikeperch</t>
  </si>
  <si>
    <t xml:space="preserve">Silver barb</t>
  </si>
  <si>
    <t xml:space="preserve">Turbot</t>
  </si>
  <si>
    <t xml:space="preserve">Giant gourami</t>
  </si>
  <si>
    <t xml:space="preserve">Milkfish</t>
  </si>
  <si>
    <t xml:space="preserve">Sources include Muraf et al and FAO</t>
  </si>
  <si>
    <t xml:space="preserve">Shrimp</t>
  </si>
  <si>
    <t xml:space="preserve">Faunaltyics and IFFO</t>
  </si>
  <si>
    <t xml:space="preserve">Crab</t>
  </si>
  <si>
    <t xml:space="preserve">Fish unidentified species USA</t>
  </si>
  <si>
    <t xml:space="preserve">Note: Typically in fish procurement data and menus, salmon and tuna are specifically identified. The calculations below are intended to estimate impacts of usage of fish when species is not identified.</t>
  </si>
  <si>
    <t xml:space="preserve">Weight (kilograms)</t>
  </si>
  <si>
    <t xml:space="preserve">Total retail weight per life accounting for indirect effects (kilograms)</t>
  </si>
  <si>
    <t xml:space="preserve">Lives per pound direct:</t>
  </si>
  <si>
    <t xml:space="preserve">lives per kilogram of consumable product accounting for indirect effects</t>
  </si>
  <si>
    <t xml:space="preserve">Live per pound including indirect</t>
  </si>
  <si>
    <t xml:space="preserve">Species or Product</t>
  </si>
  <si>
    <t xml:space="preserve">Amount Consumed in 2019 (pounds)</t>
  </si>
  <si>
    <t xml:space="preserve">Weight (grams, lower)</t>
  </si>
  <si>
    <t xml:space="preserve">Weight (grams, upper)</t>
  </si>
  <si>
    <t xml:space="preserve">Weight (grams, midpoint)</t>
  </si>
  <si>
    <t xml:space="preserve">Aquaculture or wild caught</t>
  </si>
  <si>
    <t xml:space="preserve">Mortality rate</t>
  </si>
  <si>
    <t xml:space="preserve">Additional lives due to feed fish</t>
  </si>
  <si>
    <t xml:space="preserve">Additional lives due to mortality</t>
  </si>
  <si>
    <t xml:space="preserve">Aquaculture</t>
  </si>
  <si>
    <t xml:space="preserve">Alaska Pollock</t>
  </si>
  <si>
    <t xml:space="preserve">Wild caught</t>
  </si>
  <si>
    <t xml:space="preserve">Pangasius (Basa or Swai)</t>
  </si>
  <si>
    <t xml:space="preserve">Cod</t>
  </si>
  <si>
    <t xml:space="preserve">Catfish</t>
  </si>
  <si>
    <t xml:space="preserve">Total/average</t>
  </si>
  <si>
    <t xml:space="preserve">Fish lives from fishmeal and fish oil, including fish processed, bycatch, discards and slippage. But counting no lives for byproducts/trimmings</t>
  </si>
  <si>
    <t xml:space="preserve">Category</t>
  </si>
  <si>
    <t xml:space="preserve">Total Weight (kg)</t>
  </si>
  <si>
    <t xml:space="preserve">% of total weight</t>
  </si>
  <si>
    <t xml:space="preserve">Their avg weight (g)</t>
  </si>
  <si>
    <t xml:space="preserve">lives per kg FMFO</t>
  </si>
  <si>
    <t xml:space="preserve">Additional lives per kg via bycatch plus slippage (12.3%)</t>
  </si>
  <si>
    <t xml:space="preserve">Number of fish lives attributable to FMFO including bycatch/discards/ slippage</t>
  </si>
  <si>
    <t xml:space="preserve">lives per kg FMFO including bycatch, discards, slippage</t>
  </si>
  <si>
    <t xml:space="preserve">Reduction Fisheries</t>
  </si>
  <si>
    <t xml:space="preserve">Other Non-Food Catches</t>
  </si>
  <si>
    <t xml:space="preserve">https://g.co/gemini/share/774fdafc8144</t>
  </si>
  <si>
    <t xml:space="preserve">Byproducts &amp; Trimmings</t>
  </si>
  <si>
    <t xml:space="preserve">TOTALS</t>
  </si>
  <si>
    <t xml:space="preserve">For bycatch and slippage estimates in cells G105-G108, please see Feeding global aquaculture (2024): https://www.science.org/doi/10.1126/sciadv.adn9698</t>
  </si>
  <si>
    <t xml:space="preserve"> Feeding global aquaculture (2024)</t>
  </si>
  <si>
    <t xml:space="preserve">According to FAO's "State of the World's Fisheries and Aquaculture 2024": "Of the 185.4 million tonnes (live weight equivalent) of aquatic animals harvested globally in 2022, about 89 percent (164.6 million tonnes) was used for direct human consumption. The remaining 11 percent (20.8 million tonnes) was destined for non-food purposes, of which about 83 percent (17 million tonnes) was reduced to fishmeal and fish oil…”</t>
  </si>
  <si>
    <t xml:space="preserve">"FAO States: "Recent trends Of the 185.4 million tonnes (live weight equivalent) of aquatic animals harvested globally in 2022, about 89 percent (164.6 million tonnes) was used for direct human consumption. The remaining 11 percent (20.8 million tonnes) was destined for non-food purposes, of which about 83 percent (17 million tonnes) was reduced to fishmeal and fish oil, </t>
  </si>
  <si>
    <t xml:space="preserve">Reduction Fisheries Catch</t>
  </si>
  <si>
    <t xml:space="preserve"> kg</t>
  </si>
  <si>
    <t xml:space="preserve">Fishmeal Yield</t>
  </si>
  <si>
    <t xml:space="preserve">Fish Oil Yield</t>
  </si>
  <si>
    <t xml:space="preserve">% Fishmeal from Trimmings</t>
  </si>
  <si>
    <t xml:space="preserve">% Fish Oil from Trimmings</t>
  </si>
  <si>
    <t xml:space="preserve">Fishmeal from Reduction Fisheries Catch</t>
  </si>
  <si>
    <t xml:space="preserve">Total kg fishmeal produced from the reduction catch</t>
  </si>
  <si>
    <t xml:space="preserve">Fish Oil from Reduction Fisheries Catch</t>
  </si>
  <si>
    <t xml:space="preserve">Total kg fish oil produced from the reduction catch (in billion kg)</t>
  </si>
  <si>
    <t xml:space="preserve">% Fishmeal from Reduction Fisheries</t>
  </si>
  <si>
    <t xml:space="preserve">The remaining percentage of fishmeal that comes from reduction fisheries</t>
  </si>
  <si>
    <t xml:space="preserve">% Fish Oil from Reduction Fisheries</t>
  </si>
  <si>
    <t xml:space="preserve">The remaining percentage of fish oil that comes from reduction fisheries</t>
  </si>
  <si>
    <t xml:space="preserve">Total Global Fishmeal Production</t>
  </si>
  <si>
    <t xml:space="preserve">Estimated total kg fishmeal produced globally</t>
  </si>
  <si>
    <t xml:space="preserve">Total Global Fish Oil Production</t>
  </si>
  <si>
    <t xml:space="preserve">Estimated kg total fish oil produced globally</t>
  </si>
  <si>
    <t xml:space="preserve">Fishmeal from Trimmings (Quantity)</t>
  </si>
  <si>
    <t xml:space="preserve">Kg of fishmeal derived from trimmings</t>
  </si>
  <si>
    <t xml:space="preserve">Fish Oil from Trimmings (Quantity)</t>
  </si>
  <si>
    <t xml:space="preserve">Kg of fish oil derived from trimmings</t>
  </si>
  <si>
    <t xml:space="preserve">Fishmeal yield from trimmings relative to from reduction fisheries</t>
  </si>
  <si>
    <t xml:space="preserve">Trimmings Weight (Based on B109/(B98 * .85))</t>
  </si>
  <si>
    <t xml:space="preserve">Kg of trimmings needed for fishmeal production</t>
  </si>
  <si>
    <t xml:space="preserve">Fish oil yield if trimmings weight = B109/B110</t>
  </si>
  <si>
    <t xml:space="preserve">Total Trimmings Weight</t>
  </si>
  <si>
    <t xml:space="preserve">kg</t>
  </si>
  <si>
    <t xml:space="preserve">Shellfish weights</t>
  </si>
  <si>
    <t xml:space="preserve">Fishcount decapod weights</t>
  </si>
  <si>
    <t xml:space="preserve">Source: http://fishcount.org.uk/studydatascreens2/2017/numbers-of-farmed-decapods-A0-2017.php?sort2/full</t>
  </si>
  <si>
    <t xml:space="preserve">Species</t>
  </si>
  <si>
    <t xml:space="preserve">Minimum weight (grams)</t>
  </si>
  <si>
    <t xml:space="preserve">Maximum weight (grams)</t>
  </si>
  <si>
    <t xml:space="preserve">Farmed or wild caught</t>
  </si>
  <si>
    <t xml:space="preserve">True crabs</t>
  </si>
  <si>
    <t xml:space="preserve">Farmed</t>
  </si>
  <si>
    <t xml:space="preserve">Shrimps and prawns</t>
  </si>
  <si>
    <t xml:space="preserve">Crayfish and lobsters</t>
  </si>
  <si>
    <t xml:space="preserve">American crabs</t>
  </si>
  <si>
    <t xml:space="preserve">Source: https://www.seafoodhealthfacts.org/description-top-commercial-seafood-items/crab</t>
  </si>
  <si>
    <t xml:space="preserve">Weight (grams)</t>
  </si>
  <si>
    <t xml:space="preserve">Amount caught (pounds, millions)</t>
  </si>
  <si>
    <t xml:space="preserve">Sources for weights</t>
  </si>
  <si>
    <t xml:space="preserve">Blue crabs</t>
  </si>
  <si>
    <t xml:space="preserve">https://edis.ifas.ufl.edu/sg078</t>
  </si>
  <si>
    <t xml:space="preserve">Snow crabs</t>
  </si>
  <si>
    <t xml:space="preserve">http://animaldiversity.org/accounts/Chionoecetes_opilio/</t>
  </si>
  <si>
    <t xml:space="preserve">Dungeness crabs</t>
  </si>
  <si>
    <t xml:space="preserve">https://caseagrant.ucsd.edu/seafood-profiles/dungeness-crab</t>
  </si>
  <si>
    <t xml:space="preserve">King crabs</t>
  </si>
  <si>
    <t xml:space="preserve">https://www.alaskankingcrab.com/blogs/resources/blog-learn-the-anatomy-of-alaskan-king-crab</t>
  </si>
  <si>
    <t xml:space="preserve">AI-assisted estimated % of those consumed as human food in the United States that were raised in aquaculture facilities anywhere</t>
  </si>
  <si>
    <t xml:space="preserve">Live harvest weights</t>
  </si>
  <si>
    <t xml:space="preserve">Aquatic Animal</t>
  </si>
  <si>
    <t xml:space="preserve">OpenAI</t>
  </si>
  <si>
    <t xml:space="preserve">Gemini</t>
  </si>
  <si>
    <t xml:space="preserve">Anthropic</t>
  </si>
  <si>
    <t xml:space="preserve">Average</t>
  </si>
  <si>
    <t xml:space="preserve">Wild</t>
  </si>
  <si>
    <t xml:space="preserve">Weight used (weighted mix if more than 5% farmed)</t>
  </si>
  <si>
    <t xml:space="preserve">silver or bighead carp</t>
  </si>
  <si>
    <t xml:space="preserve">fish finfish</t>
  </si>
  <si>
    <t xml:space="preserve">squid or cuttlefish</t>
  </si>
  <si>
    <t xml:space="preserve">tuna (skipjack, albacore, yellowtail)</t>
  </si>
  <si>
    <t xml:space="preserve">tuna (bluefin tuna)</t>
  </si>
  <si>
    <t xml:space="preserve">Calculations of feed fish per pig, broiler and laying hen</t>
  </si>
  <si>
    <t xml:space="preserve">Estimate</t>
  </si>
  <si>
    <t xml:space="preserve">Source</t>
  </si>
  <si>
    <t xml:space="preserve">Total annual number of feed fish globally</t>
  </si>
  <si>
    <t xml:space="preserve">Portion used for fishmeal</t>
  </si>
  <si>
    <t xml:space="preserve">https://g.co/gemini/share/504d9496e46c</t>
  </si>
  <si>
    <t xml:space="preserve">Portion used for fish oil</t>
  </si>
  <si>
    <t xml:space="preserve">Number used for fishmeal</t>
  </si>
  <si>
    <t xml:space="preserve">Number used for fish oil</t>
  </si>
  <si>
    <t xml:space="preserve">Total annual number of pigs slaughtered globally</t>
  </si>
  <si>
    <t xml:space="preserve">FAOSTAT 1) Region: World + (Total) 2) Element: Producing Animal Slaughtered 3) Items: Livestock Primary, Meat of pig 4: Year: 2023</t>
  </si>
  <si>
    <t xml:space="preserve">Proportion of fish meal used for pigs</t>
  </si>
  <si>
    <t xml:space="preserve">https://www.science.org/doi/10.1126/sciadv.adn5650</t>
  </si>
  <si>
    <t xml:space="preserve">https://openknowledge.fao.org/server/api/core/bitstreams/f985caed-cc7a-457e-8107-7ce16c6ef209/content</t>
  </si>
  <si>
    <t xml:space="preserve">Feed fish per pig</t>
  </si>
  <si>
    <t xml:space="preserve">Fish consumed per broiler and per laying hen (lifetime)</t>
  </si>
  <si>
    <t xml:space="preserve">Total fish annually fed as fishmeal to chickens (1%)</t>
  </si>
  <si>
    <t xml:space="preserve">Broiler lifespan (days)</t>
  </si>
  <si>
    <t xml:space="preserve">Laying hen lifespan (days)</t>
  </si>
  <si>
    <t xml:space="preserve">Laying hen daily consumption ratio</t>
  </si>
  <si>
    <t xml:space="preserve">Broilers slaughtered annually</t>
  </si>
  <si>
    <t xml:space="preserve">FAOSTAT 1) Region: World  2) Element: Producing Animal Slaughtered 3) Items: Livestock Primary, Meat of chickens 4: Year: 2023</t>
  </si>
  <si>
    <t xml:space="preserve">Global laying hen population</t>
  </si>
  <si>
    <t xml:space="preserve">https://ourworldindata.org/do-better-cages-or-cage-free-environments-really-improve-the-lives-of-hens</t>
  </si>
  <si>
    <t xml:space="preserve">Broiler annual demand component</t>
  </si>
  <si>
    <t xml:space="preserve">Laying hen annual demand component</t>
  </si>
  <si>
    <t xml:space="preserve">Total demand factor</t>
  </si>
  <si>
    <t xml:space="preserve"> </t>
  </si>
  <si>
    <t xml:space="preserve">Broiler daily fish consumption</t>
  </si>
  <si>
    <t xml:space="preserve">Laying hen daily fish consumption</t>
  </si>
  <si>
    <t xml:space="preserve">Broiler lifetime fish consumption</t>
  </si>
  <si>
    <t xml:space="preserve">Laying hen lifetime fish consumption</t>
  </si>
  <si>
    <t xml:space="preserve">Mortality rates</t>
  </si>
  <si>
    <t xml:space="preserve">Overall mortality rate</t>
  </si>
  <si>
    <t xml:space="preserve">Additional lives per animal</t>
  </si>
  <si>
    <t xml:space="preserve">Average age of death (days)</t>
  </si>
  <si>
    <t xml:space="preserve">Additional days per animal</t>
  </si>
  <si>
    <t xml:space="preserve">Full lifespan</t>
  </si>
  <si>
    <t xml:space="preserve">Age of death / full lifespan</t>
  </si>
  <si>
    <t xml:space="preserve">Broiler chicken</t>
  </si>
  <si>
    <t xml:space="preserve">Dairy heifers</t>
  </si>
  <si>
    <t xml:space="preserve">Pigs</t>
  </si>
  <si>
    <t xml:space="preserve">Layer hen</t>
  </si>
  <si>
    <t xml:space="preserve">Fish</t>
  </si>
  <si>
    <t xml:space="preserve">Calculated in 'Fish and shellfish calculations' sheet</t>
  </si>
  <si>
    <t xml:space="preserve">Shellfish</t>
  </si>
  <si>
    <t xml:space="preserve">Beef includes dairy bull calf mortlity</t>
  </si>
  <si>
    <t xml:space="preserve">Calculations/sources</t>
  </si>
  <si>
    <t xml:space="preserve">Broiler chickens</t>
  </si>
  <si>
    <t xml:space="preserve">Age of death (days)</t>
  </si>
  <si>
    <t xml:space="preserve">Sources:</t>
  </si>
  <si>
    <t xml:space="preserve">https://www.aphis.usda.gov/animal_health/emergency_management/downloads/documents_manuals/poultry_ind_manual.pdf</t>
  </si>
  <si>
    <t xml:space="preserve">https://thepoultrysite.com/articles/mortality-patterns-associated-with-commercial-broiler-production</t>
  </si>
  <si>
    <t xml:space="preserve">Layer hens</t>
  </si>
  <si>
    <t xml:space="preserve">Mortality rate (pre-slaughter)</t>
  </si>
  <si>
    <t xml:space="preserve">Proportion of deaths at each phase</t>
  </si>
  <si>
    <t xml:space="preserve">Mortality rate (pre-production)</t>
  </si>
  <si>
    <t xml:space="preserve">Age of death (midpoint, days)</t>
  </si>
  <si>
    <t xml:space="preserve">Small chicks/brooder (0-8 weeks)</t>
  </si>
  <si>
    <t xml:space="preserve">Grower (8-20 weeks)</t>
  </si>
  <si>
    <t xml:space="preserve">Layer (20-72 weeks)</t>
  </si>
  <si>
    <t xml:space="preserve">Average/total (pre-slaughter)</t>
  </si>
  <si>
    <t xml:space="preserve">Average/total (pre-production)</t>
  </si>
  <si>
    <t xml:space="preserve">Additrional lives per animal (cell C8) includes one male chick, typically one day old, killed for each female chick</t>
  </si>
  <si>
    <t xml:space="preserve">http://www.fao.org/3/Y4628E/y4628e03.htm</t>
  </si>
  <si>
    <t xml:space="preserve">https://www.aphis.usda.gov/animal_health/nahms/poultry/downloads/layers2013/Layers2013_dr_PartI.pdf</t>
  </si>
  <si>
    <t xml:space="preserve">https://www.nrcs.usda.gov/Internet/FSE_DOCUMENTS/nrcseprd380437.pdf</t>
  </si>
  <si>
    <t xml:space="preserve">Krautwald-Junghanns M-E, Cramer K, Fischer B, Förster A, Galli R, Kremer F, et al. Current approaches to avoid the culling of day-old male chicks in the layer industry, with specialreference to spectroscopic methods. Poult Sci. 2018;97:749–57.</t>
  </si>
  <si>
    <t xml:space="preserve">Turkeys</t>
  </si>
  <si>
    <t xml:space="preserve">Hens mortality</t>
  </si>
  <si>
    <t xml:space="preserve">5-6%</t>
  </si>
  <si>
    <t xml:space="preserve">Toms mortality</t>
  </si>
  <si>
    <t xml:space="preserve">10-12%</t>
  </si>
  <si>
    <t xml:space="preserve">Midpoint</t>
  </si>
  <si>
    <t xml:space="preserve">Source: https://www.aphis.usda.gov/animal_health/emergency_management/downloads/documents_manuals/poultry_ind_manual.pdf</t>
  </si>
  <si>
    <t xml:space="preserve">0-1 week</t>
  </si>
  <si>
    <t xml:space="preserve">1 week - 4.5 months</t>
  </si>
  <si>
    <t xml:space="preserve">Loss per 1000</t>
  </si>
  <si>
    <t xml:space="preserve">Preweaning phase (0-3 weeks)</t>
  </si>
  <si>
    <t xml:space="preserve">Weaned pigs entering nursery phase (3-8.5 weeks)</t>
  </si>
  <si>
    <t xml:space="preserve">Grower to finisher (8.5-24 weeks)</t>
  </si>
  <si>
    <t xml:space="preserve">Average/total</t>
  </si>
  <si>
    <t xml:space="preserve">https://www.aphis.usda.gov/animal_health/nahms/swine/downloads/swine2012/Swine2012_dr_PartI.pdf</t>
  </si>
  <si>
    <t xml:space="preserve">Calf (0-365 days)</t>
  </si>
  <si>
    <t xml:space="preserve">Adding dairy industry bull calf mortality to beef mortality</t>
  </si>
  <si>
    <t xml:space="preserve">Cattle (365-1098 days)</t>
  </si>
  <si>
    <t xml:space="preserve">Estimated U.S. Beef Calf Crop</t>
  </si>
  <si>
    <t xml:space="preserve">Pre-harvest mortality rate</t>
  </si>
  <si>
    <t xml:space="preserve">Source: Page 10 https://www.aphis.usda.gov/animal_health/nahms/general/downloads/cattle_calves_deathloss_2015.pdf</t>
  </si>
  <si>
    <t xml:space="preserve">Beef herd mortalities</t>
  </si>
  <si>
    <t xml:space="preserve">Dairy cattle</t>
  </si>
  <si>
    <t xml:space="preserve">dairy bull calf crop</t>
  </si>
  <si>
    <t xml:space="preserve">Preweaned heifer (0-6 weeks)</t>
  </si>
  <si>
    <t xml:space="preserve">dairy bull calf mortality rate</t>
  </si>
  <si>
    <t xml:space="preserve">Weaned heifer (6 weeks-30 months)</t>
  </si>
  <si>
    <t xml:space="preserve">dairy bull calf mortalities</t>
  </si>
  <si>
    <t xml:space="preserve">Dairy cows (3-68 months)</t>
  </si>
  <si>
    <t xml:space="preserve">Dairy bull calf mortality/beef mortality</t>
  </si>
  <si>
    <t xml:space="preserve">Bull calves</t>
  </si>
  <si>
    <t xml:space="preserve">Total </t>
  </si>
  <si>
    <t xml:space="preserve">Source: Page 28 https://www.aphis.usda.gov/animal_health/nahms/dairy/downloads/dairy14/Dairy14_dr_PartIII.pdf</t>
  </si>
  <si>
    <t xml:space="preserve">https://www.nass.usda.gov/Newsroom/2024/01-31-2024.php</t>
  </si>
  <si>
    <t xml:space="preserve">https://chatgpt.com/share/68502b1f-e2dc-8008-8a99-c823d247a485</t>
  </si>
  <si>
    <t xml:space="preserve">https://g.co/gemini/share/148fcc912008</t>
  </si>
  <si>
    <t xml:space="preserve">source: https://g.co/gemini/share/b647bad7427a</t>
  </si>
  <si>
    <t xml:space="preserve">https://www.researchgate.net/publication/332821645_Quantifying_calf_mortality_on_dairy_farms_Challenges_and_solutions</t>
  </si>
  <si>
    <t xml:space="preserve">https://www.journalofdairyscience.org/action/showPdf?pii=S0022-0302%2820%2930033-3</t>
  </si>
  <si>
    <t xml:space="preserve">Goat kids</t>
  </si>
  <si>
    <t xml:space="preserve">Goat adults</t>
  </si>
  <si>
    <t xml:space="preserve">source: https://www.aphis.usda.gov/sites/default/files/goat_kid_deathloss_2015.pdf</t>
  </si>
  <si>
    <t xml:space="preserve">Lamb</t>
  </si>
  <si>
    <t xml:space="preserve">Sheep</t>
  </si>
  <si>
    <t xml:space="preserve">https://www.aphis.usda.gov/livestock-poultry-disease/nahms/studies/sheep-death-dashboard</t>
  </si>
  <si>
    <t xml:space="preserve">FAO livestock data</t>
  </si>
  <si>
    <t xml:space="preserve">Source: http://www.fao.org/faostat/en/#data/QL</t>
  </si>
  <si>
    <t xml:space="preserve">Domain</t>
  </si>
  <si>
    <t xml:space="preserve">Area</t>
  </si>
  <si>
    <t xml:space="preserve">Element</t>
  </si>
  <si>
    <t xml:space="preserve">Item</t>
  </si>
  <si>
    <t xml:space="preserve">Year</t>
  </si>
  <si>
    <t xml:space="preserve">Unit</t>
  </si>
  <si>
    <t xml:space="preserve">Value</t>
  </si>
  <si>
    <t xml:space="preserve">Flag Description</t>
  </si>
  <si>
    <t xml:space="preserve">Livestock Primary</t>
  </si>
  <si>
    <t xml:space="preserve">United States of America</t>
  </si>
  <si>
    <t xml:space="preserve">Yield</t>
  </si>
  <si>
    <t xml:space="preserve">Eggs, hen, in shell</t>
  </si>
  <si>
    <t xml:space="preserve">kg/an</t>
  </si>
  <si>
    <t xml:space="preserve">Estimated value</t>
  </si>
  <si>
    <t xml:space="preserve">*</t>
  </si>
  <si>
    <t xml:space="preserve">Yield (Carcass Weight)</t>
  </si>
  <si>
    <t xml:space="preserve">Meat, cattle</t>
  </si>
  <si>
    <t xml:space="preserve">Official data</t>
  </si>
  <si>
    <t xml:space="preserve">Meat, chicken</t>
  </si>
  <si>
    <t xml:space="preserve">Calculated data</t>
  </si>
  <si>
    <t xml:space="preserve">Meat, pig</t>
  </si>
  <si>
    <t xml:space="preserve">Meat, turkey</t>
  </si>
  <si>
    <t xml:space="preserve">Milk Animals</t>
  </si>
  <si>
    <t xml:space="preserve">Milk, whole fresh cow</t>
  </si>
  <si>
    <t xml:space="preserve">Head</t>
  </si>
  <si>
    <t xml:space="preserve">Production</t>
  </si>
  <si>
    <t xml:space="preserve">tonnes</t>
  </si>
  <si>
    <t xml:space="preserve">Meat of sheep, fresh or chilled</t>
  </si>
  <si>
    <t xml:space="preserve">Meat of goat</t>
  </si>
  <si>
    <t xml:space="preserve">Estimated data</t>
  </si>
  <si>
    <t xml:space="preserve">FAOSTAT_USDA_Carcass_Yield_Definition</t>
  </si>
  <si>
    <t xml:space="preserve">bone-in % of retail sales</t>
  </si>
  <si>
    <t xml:space="preserve">Yield at retail relative to FAO carcass yield:  bone-in</t>
  </si>
  <si>
    <t xml:space="preserve">boneless % of retail sales</t>
  </si>
  <si>
    <t xml:space="preserve">Yield at retail relative to FAO carcass yield: boneless</t>
  </si>
  <si>
    <t xml:space="preserve">Weighted Average Retail Yield Percent</t>
  </si>
  <si>
    <t xml:space="preserve">Loss from original FAO yield</t>
  </si>
  <si>
    <t xml:space="preserve">Key_Sources</t>
  </si>
  <si>
    <t xml:space="preserve">Chilled carcass weight (no hide/offal)</t>
  </si>
  <si>
    <t xml:space="preserve">https://extension.sdstate.edu/how-much-meat-can-you-expect-fed-steer</t>
  </si>
  <si>
    <t xml:space="preserve">Chilled carcass weight</t>
  </si>
  <si>
    <t xml:space="preserve">https://livestock.extension.wisc.edu/articles/how-much-meat-should-a-hog-yield/</t>
  </si>
  <si>
    <t xml:space="preserve">Ready-to-Cook (RTC) carcass weight</t>
  </si>
  <si>
    <t xml:space="preserve">https://www.ams.usda.gov/sites/default/files/media/QAD%20635%20-%20Standard%20Yield.pdf</t>
  </si>
  <si>
    <t xml:space="preserve">https://livestock.extension.wisc.edu/articles/how-much-meat-should-a-lamb-yield/</t>
  </si>
  <si>
    <t xml:space="preserve">Kg per 1000 eggs</t>
  </si>
  <si>
    <t xml:space="preserve">https://ers.usda.gov/sites/default/files/_laserfiche/DataFiles/50472/meat.xls?v=74023</t>
  </si>
  <si>
    <t xml:space="preserve">Dairy</t>
  </si>
  <si>
    <t xml:space="preserve">% Food</t>
  </si>
  <si>
    <t xml:space="preserve">https://www.fao.org/faostat/en/#data/FBS</t>
  </si>
  <si>
    <t xml:space="preserve">FAO FOOD BALANCES: COW MILK</t>
  </si>
  <si>
    <t xml:space="preserve">1) milk excluding butter</t>
  </si>
  <si>
    <t xml:space="preserve">1000 t</t>
  </si>
  <si>
    <t xml:space="preserve">Import quantity</t>
  </si>
  <si>
    <t xml:space="preserve">Export quantity</t>
  </si>
  <si>
    <t xml:space="preserve">Stock Variation</t>
  </si>
  <si>
    <t xml:space="preserve">Domestic supply quantity</t>
  </si>
  <si>
    <t xml:space="preserve">Not for human food</t>
  </si>
  <si>
    <t xml:space="preserve">Other uses (non-food)</t>
  </si>
  <si>
    <t xml:space="preserve">Feed</t>
  </si>
  <si>
    <t xml:space="preserve">Residuals</t>
  </si>
  <si>
    <t xml:space="preserve">For food</t>
  </si>
  <si>
    <t xml:space="preserve">Food</t>
  </si>
  <si>
    <t xml:space="preserve">Processing</t>
  </si>
  <si>
    <t xml:space="preserve">2) butter/ghee</t>
  </si>
  <si>
    <t xml:space="preserve">Losses</t>
  </si>
  <si>
    <t xml:space="preserve">Total supply: milk+butter</t>
  </si>
  <si>
    <t xml:space="preserve">Total for food</t>
  </si>
  <si>
    <t xml:space="preserve">% for food</t>
  </si>
  <si>
    <t xml:space="preserve">Fishcount fish weights</t>
  </si>
  <si>
    <t xml:space="preserve">Source: http://fishcount.org.uk/studydatascreens2/2017/numbers-of-farmed-fish-A0-2017.php?sort2/full; http://fishcount.org.uk/studydatascreens/2016/numbers-of-wild-fish-A0-2016.php</t>
  </si>
  <si>
    <t xml:space="preserve">Estimated mean weight (grams)</t>
  </si>
  <si>
    <t xml:space="preserve">Generic mean weight (grams)</t>
  </si>
  <si>
    <t xml:space="preserve">Mean weight (grams, estimated and generic combined)</t>
  </si>
  <si>
    <t xml:space="preserve">Grass carp(=White amur) (Ctenopharyngodon idellus)</t>
  </si>
  <si>
    <t xml:space="preserve">500-2,500</t>
  </si>
  <si>
    <t xml:space="preserve">Silver carp (Hypophthalmichthys molitrix)</t>
  </si>
  <si>
    <t xml:space="preserve">300-1,500</t>
  </si>
  <si>
    <t xml:space="preserve">Nile tilapia (Oreochromis niloticus)</t>
  </si>
  <si>
    <t xml:space="preserve">250-800</t>
  </si>
  <si>
    <t xml:space="preserve">Common carp (Cyprinus carpio)</t>
  </si>
  <si>
    <t xml:space="preserve">Bighead carp (Hypophthalmichthys nobilis)</t>
  </si>
  <si>
    <t xml:space="preserve">500-1,500</t>
  </si>
  <si>
    <t xml:space="preserve">Carassius spp (Carassius spp)</t>
  </si>
  <si>
    <t xml:space="preserve">150-400</t>
  </si>
  <si>
    <t xml:space="preserve">Catla (Catla catla)</t>
  </si>
  <si>
    <t xml:space="preserve">300-2,000</t>
  </si>
  <si>
    <t xml:space="preserve">Atlantic salmon (Salmo salar)</t>
  </si>
  <si>
    <t xml:space="preserve">3,614-8,434</t>
  </si>
  <si>
    <t xml:space="preserve">Roho labeo (Labeo rohita)</t>
  </si>
  <si>
    <t xml:space="preserve">Pangas catfishes nei (Pangasius spp)</t>
  </si>
  <si>
    <t xml:space="preserve">Milkfish (Chanos chanos)</t>
  </si>
  <si>
    <t xml:space="preserve">250-500</t>
  </si>
  <si>
    <t xml:space="preserve">Tilapias nei (Oreochromis(=Tilapia) spp)</t>
  </si>
  <si>
    <t xml:space="preserve">Striped catfish (Pangasius hypophthalmus)</t>
  </si>
  <si>
    <t xml:space="preserve">Wuchang bream (Megalobrama amblycephala)</t>
  </si>
  <si>
    <t xml:space="preserve">450-500</t>
  </si>
  <si>
    <t xml:space="preserve">Rainbow trout (Oncorhynchus mykiss)</t>
  </si>
  <si>
    <t xml:space="preserve">210-5,000</t>
  </si>
  <si>
    <t xml:space="preserve">Black carp (Mylopharyngodon piceus)</t>
  </si>
  <si>
    <t xml:space="preserve">2,000-3,000</t>
  </si>
  <si>
    <t xml:space="preserve">Mrigal carp (Cirrhinus mrigala)</t>
  </si>
  <si>
    <t xml:space="preserve">300-1,100</t>
  </si>
  <si>
    <t xml:space="preserve">Yellow catfish (Pelteobagrus fulvidraco)</t>
  </si>
  <si>
    <t xml:space="preserve">50-200</t>
  </si>
  <si>
    <t xml:space="preserve">Largemouth black bass (Micropterus salmoides)</t>
  </si>
  <si>
    <t xml:space="preserve">680-680</t>
  </si>
  <si>
    <t xml:space="preserve">Channel catfish (Ictalurus punctatus)</t>
  </si>
  <si>
    <t xml:space="preserve">340-680</t>
  </si>
  <si>
    <t xml:space="preserve">Mandarin fish (Siniperca chuatsi)</t>
  </si>
  <si>
    <t xml:space="preserve">500-500</t>
  </si>
  <si>
    <t xml:space="preserve">Japanese eel (Anguilla japonica)</t>
  </si>
  <si>
    <t xml:space="preserve">100-250</t>
  </si>
  <si>
    <t xml:space="preserve">Pirapatinga (Piaractus brachypomus)</t>
  </si>
  <si>
    <t xml:space="preserve">500-1,000</t>
  </si>
  <si>
    <t xml:space="preserve">North African catfish (Clarias gariepinus)</t>
  </si>
  <si>
    <t xml:space="preserve">Gilthead seabream (Sparus aurata)</t>
  </si>
  <si>
    <t xml:space="preserve">300-400</t>
  </si>
  <si>
    <t xml:space="preserve">European seabass (Dicentrarchus labrax)</t>
  </si>
  <si>
    <t xml:space="preserve">400-500</t>
  </si>
  <si>
    <t xml:space="preserve">Japanese seabass (Lateolabrax japonicus)</t>
  </si>
  <si>
    <t xml:space="preserve">Giant gourami (Osphronemus goramy)</t>
  </si>
  <si>
    <t xml:space="preserve">Silver barb (Barbonymus gonionotus)</t>
  </si>
  <si>
    <t xml:space="preserve">100-200</t>
  </si>
  <si>
    <t xml:space="preserve">Japanese amberjack (Seriola quinqueradiata)</t>
  </si>
  <si>
    <t xml:space="preserve">3,500-6,000</t>
  </si>
  <si>
    <t xml:space="preserve">Cachama (Colossoma macropomum)</t>
  </si>
  <si>
    <t xml:space="preserve">500-2,000</t>
  </si>
  <si>
    <t xml:space="preserve">Barramundi(=Giant seaperch) (Lates calcarifer)</t>
  </si>
  <si>
    <t xml:space="preserve">Red drum (Sciaenops ocellatus)</t>
  </si>
  <si>
    <t xml:space="preserve">1,000-1,000</t>
  </si>
  <si>
    <t xml:space="preserve">Silver seabream (Pagrus auratus)</t>
  </si>
  <si>
    <t xml:space="preserve">400-400</t>
  </si>
  <si>
    <t xml:space="preserve">Mozambique tilapia (Oreochromis mossambicus)</t>
  </si>
  <si>
    <t xml:space="preserve">500-800</t>
  </si>
  <si>
    <t xml:space="preserve">Turbot (Psetta maxima)</t>
  </si>
  <si>
    <t xml:space="preserve">700-2,000</t>
  </si>
  <si>
    <t xml:space="preserve">Cobia (Rachycentron canadum)</t>
  </si>
  <si>
    <t xml:space="preserve">6,000-8,000</t>
  </si>
  <si>
    <t xml:space="preserve">Striped snakehead (Channa striata)</t>
  </si>
  <si>
    <t xml:space="preserve">Bastard halibut (Paralichthys olivaceus)</t>
  </si>
  <si>
    <t xml:space="preserve">800-1,500</t>
  </si>
  <si>
    <t xml:space="preserve">Indonesian snakehead (Channa micropeltes)</t>
  </si>
  <si>
    <t xml:space="preserve">500-700</t>
  </si>
  <si>
    <t xml:space="preserve">Snakeskin gourami (Trichogaster pectoralis)</t>
  </si>
  <si>
    <t xml:space="preserve">80-120</t>
  </si>
  <si>
    <t xml:space="preserve">Flathead grey mullet (Mugil cephalus)</t>
  </si>
  <si>
    <t xml:space="preserve">Striped bass, hybrid (Morone chrysops x M. saxatilis)</t>
  </si>
  <si>
    <t xml:space="preserve">816-816</t>
  </si>
  <si>
    <t xml:space="preserve">Crucian carp (Carassius carassius)</t>
  </si>
  <si>
    <t xml:space="preserve">Blue tilapia (Oreochromis aureus)</t>
  </si>
  <si>
    <t xml:space="preserve">Atlantic halibut (Hippoglossus hippoglossus)</t>
  </si>
  <si>
    <t xml:space="preserve">3,000-5,000</t>
  </si>
  <si>
    <t xml:space="preserve">Atlantic cod (Gadus morhua)</t>
  </si>
  <si>
    <t xml:space="preserve">2,000-5,000</t>
  </si>
  <si>
    <t xml:space="preserve">American yellow perch (Perca flavescens)</t>
  </si>
  <si>
    <t xml:space="preserve">227-227</t>
  </si>
  <si>
    <t xml:space="preserve">Marine fishes nei</t>
  </si>
  <si>
    <t xml:space="preserve">38-97</t>
  </si>
  <si>
    <t xml:space="preserve">Freshwater fishes nei</t>
  </si>
  <si>
    <t xml:space="preserve">Anchoveta(=Peruvian anchovy) (Engraulis ringens)</t>
  </si>
  <si>
    <t xml:space="preserve">10-29</t>
  </si>
  <si>
    <t xml:space="preserve">Alaska pollock(=Walleye poll.) (Theragra chalcogramma)</t>
  </si>
  <si>
    <t xml:space="preserve">227-1,000</t>
  </si>
  <si>
    <t xml:space="preserve">Skipjack tuna (Katsuwonus pelamis)</t>
  </si>
  <si>
    <t xml:space="preserve">2,000-10,000</t>
  </si>
  <si>
    <t xml:space="preserve">Atlantic herring (Clupea harengus)</t>
  </si>
  <si>
    <t xml:space="preserve">100-600</t>
  </si>
  <si>
    <t xml:space="preserve">Pacific chub mackerel (Scomber japonicus)</t>
  </si>
  <si>
    <t xml:space="preserve">100-750</t>
  </si>
  <si>
    <t xml:space="preserve">Largehead hairtail (Trichiurus lepturus)</t>
  </si>
  <si>
    <t xml:space="preserve">32-713</t>
  </si>
  <si>
    <t xml:space="preserve">Japanese anchovy (Engraulis japonicus)</t>
  </si>
  <si>
    <t xml:space="preserve">20-22</t>
  </si>
  <si>
    <t xml:space="preserve">Yellowfin tuna (Thunnus albacares)</t>
  </si>
  <si>
    <t xml:space="preserve">5,000-20,000</t>
  </si>
  <si>
    <t xml:space="preserve">Scads nei (Decapterus spp)</t>
  </si>
  <si>
    <t xml:space="preserve">63-231</t>
  </si>
  <si>
    <t xml:space="preserve">European pilchard(=Sardine) (Sardina pilchardus)</t>
  </si>
  <si>
    <t xml:space="preserve">69-127</t>
  </si>
  <si>
    <t xml:space="preserve">800-4,000</t>
  </si>
  <si>
    <t xml:space="preserve">Sardinellas nei (Sardinella spp)</t>
  </si>
  <si>
    <t xml:space="preserve">7-224</t>
  </si>
  <si>
    <t xml:space="preserve">Atlantic mackerel (Scomber scombrus)</t>
  </si>
  <si>
    <t xml:space="preserve">389-454</t>
  </si>
  <si>
    <t xml:space="preserve">Blue whiting(=Poutassou) (Micromesistius poutassou)</t>
  </si>
  <si>
    <t xml:space="preserve">135-340</t>
  </si>
  <si>
    <t xml:space="preserve">Chilean jack mackerel (Trachurus murphyi)</t>
  </si>
  <si>
    <t xml:space="preserve">200-1,000</t>
  </si>
  <si>
    <t xml:space="preserve">Croakers, drums nei</t>
  </si>
  <si>
    <t xml:space="preserve">38-96</t>
  </si>
  <si>
    <t xml:space="preserve">Cyprinids nei</t>
  </si>
  <si>
    <t xml:space="preserve">Araucanian herring (Strangomera bentincki)</t>
  </si>
  <si>
    <t xml:space="preserve">27-34</t>
  </si>
  <si>
    <t xml:space="preserve">Threadfin breams nei</t>
  </si>
  <si>
    <t xml:space="preserve">European sprat (Sprattus sprattus)</t>
  </si>
  <si>
    <t xml:space="preserve">17-17</t>
  </si>
  <si>
    <t xml:space="preserve">Capelin (Mallotus villosus)</t>
  </si>
  <si>
    <t xml:space="preserve">17-50</t>
  </si>
  <si>
    <t xml:space="preserve">Seerfishes nei</t>
  </si>
  <si>
    <t xml:space="preserve">Indian oil sardine (Sardinella longiceps)</t>
  </si>
  <si>
    <t xml:space="preserve">87-132</t>
  </si>
  <si>
    <t xml:space="preserve">Gulf menhaden (Brevoortia patronus)</t>
  </si>
  <si>
    <t xml:space="preserve">234-234</t>
  </si>
  <si>
    <t xml:space="preserve">Jack and horse mackerels nei (Trachurus spp)</t>
  </si>
  <si>
    <t xml:space="preserve">11-1,000</t>
  </si>
  <si>
    <t xml:space="preserve">European anchovy (Engraulis encrasicolus)</t>
  </si>
  <si>
    <t xml:space="preserve">8-38</t>
  </si>
  <si>
    <t xml:space="preserve">Pacific saury (Cololabis saira)</t>
  </si>
  <si>
    <t xml:space="preserve">83-83</t>
  </si>
  <si>
    <t xml:space="preserve">Clupeoids nei</t>
  </si>
  <si>
    <t xml:space="preserve">Pink(=Humpback) salmon (Oncorhynchus gorbuscha)</t>
  </si>
  <si>
    <t xml:space="preserve">1,364-2,273</t>
  </si>
  <si>
    <t xml:space="preserve">California pilchard (Sardinops sagax)</t>
  </si>
  <si>
    <t xml:space="preserve">120-183</t>
  </si>
  <si>
    <t xml:space="preserve">Pacific cod (Gadus macrocephalus)</t>
  </si>
  <si>
    <t xml:space="preserve">2,273-4,545</t>
  </si>
  <si>
    <t xml:space="preserve">Tilapias nei</t>
  </si>
  <si>
    <t xml:space="preserve">Yellow croaker (Larimichthys polyactis)</t>
  </si>
  <si>
    <t xml:space="preserve">229-499</t>
  </si>
  <si>
    <t xml:space="preserve">Bigeye tuna (Thunnus obesus)</t>
  </si>
  <si>
    <t xml:space="preserve">15,000-20,000</t>
  </si>
  <si>
    <t xml:space="preserve">Pacific herring (Clupea pallasii pallasii)</t>
  </si>
  <si>
    <t xml:space="preserve">64-400</t>
  </si>
  <si>
    <t xml:space="preserve">Sea catfishes nei</t>
  </si>
  <si>
    <t xml:space="preserve">Hilsa shad (Tenualosa ilisha)</t>
  </si>
  <si>
    <t xml:space="preserve">1,400-1,400</t>
  </si>
  <si>
    <t xml:space="preserve">Indian mackerel (Rastrelliger kanagurta)</t>
  </si>
  <si>
    <t xml:space="preserve">54-193</t>
  </si>
  <si>
    <t xml:space="preserve">Daggertooth pike conger (Muraenesox cinereus)</t>
  </si>
  <si>
    <t xml:space="preserve">10,689-10,689</t>
  </si>
  <si>
    <t xml:space="preserve">Atlantic chub mackerel (Scomber colias)</t>
  </si>
  <si>
    <t xml:space="preserve">Saithe(=Pollock) (Pollachius virens)</t>
  </si>
  <si>
    <t xml:space="preserve">2,200-4,500</t>
  </si>
  <si>
    <t xml:space="preserve">Haddock (Melanogrammus aeglefinus)</t>
  </si>
  <si>
    <t xml:space="preserve">900-1,800</t>
  </si>
  <si>
    <t xml:space="preserve">Silver pomfrets nei (Pampus spp)</t>
  </si>
  <si>
    <t xml:space="preserve">455-500</t>
  </si>
  <si>
    <t xml:space="preserve">Argentine hake (Merluccius hubbsi)</t>
  </si>
  <si>
    <t xml:space="preserve">400-600</t>
  </si>
  <si>
    <t xml:space="preserve">Frigate and bullet tunas (Auxis thazard, A. rochei)</t>
  </si>
  <si>
    <t xml:space="preserve">237-1,034</t>
  </si>
  <si>
    <t xml:space="preserve">Kawakawa (Euthynnus affinis)</t>
  </si>
  <si>
    <t xml:space="preserve">5,000-5,000</t>
  </si>
  <si>
    <t xml:space="preserve">Chum(=Keta=Dog) salmon (Oncorhynchus keta)</t>
  </si>
  <si>
    <t xml:space="preserve">3,182-8,182</t>
  </si>
  <si>
    <t xml:space="preserve">Round sardinella (Sardinella aurita)</t>
  </si>
  <si>
    <t xml:space="preserve">100-100</t>
  </si>
  <si>
    <t xml:space="preserve">Short mackerel</t>
  </si>
  <si>
    <t xml:space="preserve">Japanese pilchard (Sardinops sagax)</t>
  </si>
  <si>
    <t xml:space="preserve">Stolephorus anchovies nei (Stolephorus spp)</t>
  </si>
  <si>
    <t xml:space="preserve">3-22</t>
  </si>
  <si>
    <t xml:space="preserve">Indian mackerels nei</t>
  </si>
  <si>
    <t xml:space="preserve">Cape horse mackerel (Trachurus capensis)</t>
  </si>
  <si>
    <t xml:space="preserve">291-291</t>
  </si>
  <si>
    <t xml:space="preserve">Sandeels(=Sandlances) nei (Ammodytes spp)</t>
  </si>
  <si>
    <t xml:space="preserve">10-10</t>
  </si>
  <si>
    <t xml:space="preserve">Bonga shad (Ethmalosa fimbriata)</t>
  </si>
  <si>
    <t xml:space="preserve">143-292</t>
  </si>
  <si>
    <t xml:space="preserve">Cape hakes (Merluccius capensis,M.paradox.)</t>
  </si>
  <si>
    <t xml:space="preserve">465-2,030</t>
  </si>
  <si>
    <t xml:space="preserve">Nile perch (Lates niloticus)</t>
  </si>
  <si>
    <t xml:space="preserve">2,000-4,000</t>
  </si>
  <si>
    <t xml:space="preserve">Narrow-barred Spanish mackerel (Scomberomorus commerson)</t>
  </si>
  <si>
    <t xml:space="preserve">5,750-5,900</t>
  </si>
  <si>
    <t xml:space="preserve">North Pacific hake (Merluccius productus)</t>
  </si>
  <si>
    <t xml:space="preserve">500-1,035</t>
  </si>
  <si>
    <t xml:space="preserve">Mullets nei (Mugilidae)</t>
  </si>
  <si>
    <t xml:space="preserve">20-2,000</t>
  </si>
  <si>
    <t xml:space="preserve">Anchovies, etc. nei (Engraulidae)</t>
  </si>
  <si>
    <t xml:space="preserve">3-94</t>
  </si>
  <si>
    <t xml:space="preserve">Carangids nei</t>
  </si>
  <si>
    <t xml:space="preserve">Hairtails, scabbardfishes nei</t>
  </si>
  <si>
    <t xml:space="preserve">Sharks, rays, skates, etc. nei</t>
  </si>
  <si>
    <t xml:space="preserve">5,950-10,539</t>
  </si>
  <si>
    <t xml:space="preserve">Longtail tuna (Thunnus tonggol)</t>
  </si>
  <si>
    <t xml:space="preserve">Pacific thread herring (Opisthonema libertate)</t>
  </si>
  <si>
    <t xml:space="preserve">33-110</t>
  </si>
  <si>
    <t xml:space="preserve">Nile tilapia (Oreochromis niloticus niloticus)</t>
  </si>
  <si>
    <t xml:space="preserve">2,000-2,000</t>
  </si>
  <si>
    <t xml:space="preserve">Silver cyprinid</t>
  </si>
  <si>
    <t xml:space="preserve">Japanese jack mackerel (Trachurus japonicus)</t>
  </si>
  <si>
    <t xml:space="preserve">15-84</t>
  </si>
  <si>
    <t xml:space="preserve">Albacore (Thunnus alalunga)</t>
  </si>
  <si>
    <t xml:space="preserve">4,540-21,364</t>
  </si>
  <si>
    <t xml:space="preserve">Porgies, seabreams nei</t>
  </si>
  <si>
    <t xml:space="preserve">Bombay-duck (Harpadon nehereus)</t>
  </si>
  <si>
    <t xml:space="preserve">5-69</t>
  </si>
  <si>
    <t xml:space="preserve">Flatfishes nei</t>
  </si>
  <si>
    <t xml:space="preserve">Ponyfishes(=Slipmouths) nei</t>
  </si>
  <si>
    <t xml:space="preserve">Southern African anchovy (Engraulis capensis)</t>
  </si>
  <si>
    <t xml:space="preserve">Goldstripe sardinella (Sardinella gibbosa)</t>
  </si>
  <si>
    <t xml:space="preserve">10-55</t>
  </si>
  <si>
    <t xml:space="preserve">Jacks, crevalles nei</t>
  </si>
  <si>
    <t xml:space="preserve">Atlantic menhaden (Brevoortia tyrannus)</t>
  </si>
  <si>
    <t xml:space="preserve">162-349</t>
  </si>
  <si>
    <t xml:space="preserve">Bigeye scad (Selar crumenophthalmus)</t>
  </si>
  <si>
    <t xml:space="preserve">230-230</t>
  </si>
  <si>
    <t xml:space="preserve">Filefishes nei</t>
  </si>
  <si>
    <t xml:space="preserve">Atlantic horse mackerel (Trachurus trachurus)</t>
  </si>
  <si>
    <t xml:space="preserve">160-160</t>
  </si>
  <si>
    <t xml:space="preserve">Pacific sandlance (Ammodytes personatus)</t>
  </si>
  <si>
    <t xml:space="preserve">46-46</t>
  </si>
  <si>
    <t xml:space="preserve">Yellowstripe scad (Selaroides leptolepis)</t>
  </si>
  <si>
    <t xml:space="preserve">64-66</t>
  </si>
  <si>
    <t xml:space="preserve">Madeiran sardinella (Sardinella maderensis)</t>
  </si>
  <si>
    <t xml:space="preserve">30-224</t>
  </si>
  <si>
    <t xml:space="preserve">Sockeye(=Red) salmon (Oncorhynchus nerka)</t>
  </si>
  <si>
    <t xml:space="preserve">2,300-5,000</t>
  </si>
  <si>
    <t xml:space="preserve">Freshwater siluroids nei</t>
  </si>
  <si>
    <t xml:space="preserve">Pacific anchoveta (Cetengraulis mysticetus)</t>
  </si>
  <si>
    <t xml:space="preserve">11-24</t>
  </si>
  <si>
    <t xml:space="preserve">Groupers nei</t>
  </si>
  <si>
    <t xml:space="preserve">Patagonian grenadier (Macruronus magellanicus)</t>
  </si>
  <si>
    <t xml:space="preserve">993-2,103</t>
  </si>
  <si>
    <t xml:space="preserve">So-iny (redlip) mullet (Chelon haematocheilus)</t>
  </si>
  <si>
    <t xml:space="preserve">1,238-1,238</t>
  </si>
  <si>
    <t xml:space="preserve">Snappers nei</t>
  </si>
  <si>
    <t xml:space="preserve">Indian scad (Decapterus russelli)</t>
  </si>
  <si>
    <t xml:space="preserve">50-50</t>
  </si>
  <si>
    <t xml:space="preserve">Blue grenadier (Macruronus novaezelandiae)</t>
  </si>
  <si>
    <t xml:space="preserve">1,500-1,500</t>
  </si>
  <si>
    <t xml:space="preserve">Okhotsk atka mackerel (Pleurogrammus azonus)</t>
  </si>
  <si>
    <t xml:space="preserve">1,295-1,295</t>
  </si>
  <si>
    <t xml:space="preserve">Rays, stingrays, mantas nei</t>
  </si>
  <si>
    <t xml:space="preserve">Yellowfin sole (Limanda aspera)</t>
  </si>
  <si>
    <t xml:space="preserve">200-200</t>
  </si>
  <si>
    <t xml:space="preserve">Southern African pilchard (Sardinops sagax)</t>
  </si>
  <si>
    <t xml:space="preserve">909-1,364</t>
  </si>
  <si>
    <t xml:space="preserve">Barracudas nei (Sphyraena spp)</t>
  </si>
  <si>
    <t xml:space="preserve">187-9,072</t>
  </si>
  <si>
    <t xml:space="preserve">Silver croaker</t>
  </si>
  <si>
    <t xml:space="preserve">Lizardfishes nei</t>
  </si>
  <si>
    <t xml:space="preserve">Goatfishes (Upeneus spp)</t>
  </si>
  <si>
    <t xml:space="preserve">7-189</t>
  </si>
  <si>
    <t xml:space="preserve">Amberjacks nei (Seriola spp)</t>
  </si>
  <si>
    <t xml:space="preserve">1,057-27,300</t>
  </si>
  <si>
    <t xml:space="preserve">Greenland halibut (Reinhardtius hippoglossoides)</t>
  </si>
  <si>
    <t xml:space="preserve">2,273-25,000</t>
  </si>
  <si>
    <t xml:space="preserve">Swordfish (Xiphias gladius)</t>
  </si>
  <si>
    <t xml:space="preserve">31,000-60,000</t>
  </si>
  <si>
    <t xml:space="preserve">Blue shark (Prionace glauca)</t>
  </si>
  <si>
    <t xml:space="preserve">14,412-16,562</t>
  </si>
  <si>
    <t xml:space="preserve">Torpedo scad (Megalaspis cordyla)</t>
  </si>
  <si>
    <t xml:space="preserve">931-931</t>
  </si>
  <si>
    <t xml:space="preserve">Snakeheads(=Murrels) nei</t>
  </si>
  <si>
    <t xml:space="preserve">Bigeyes nei (Priacanthus spp)</t>
  </si>
  <si>
    <t xml:space="preserve">50-618</t>
  </si>
  <si>
    <t xml:space="preserve">Frigate tuna (Auxis thazard thazard)</t>
  </si>
  <si>
    <t xml:space="preserve">Common dolphinfish (Coryphaena hippurus)</t>
  </si>
  <si>
    <t xml:space="preserve">28,000-28,000</t>
  </si>
  <si>
    <t xml:space="preserve">European hake (Merluccius merluccius)</t>
  </si>
  <si>
    <t xml:space="preserve">1,800-1,800</t>
  </si>
  <si>
    <t xml:space="preserve">Fusiliers nei</t>
  </si>
  <si>
    <t xml:space="preserve">Percoids nei</t>
  </si>
  <si>
    <t xml:space="preserve">Common carp (Cyprinus carpio carpio)</t>
  </si>
  <si>
    <t xml:space="preserve">2,000-15,000</t>
  </si>
  <si>
    <t xml:space="preserve">Whitemouth croaker (Micropogonias furnieri)</t>
  </si>
  <si>
    <t xml:space="preserve">638-1,023</t>
  </si>
  <si>
    <t xml:space="preserve">European plaice (Pleuronectes platessa)</t>
  </si>
  <si>
    <t xml:space="preserve">1,100-1,100</t>
  </si>
  <si>
    <t xml:space="preserve">Red-eye round herring (Etrumeus teres)</t>
  </si>
  <si>
    <t xml:space="preserve">63-63</t>
  </si>
  <si>
    <t xml:space="preserve">1,500-14,000</t>
  </si>
  <si>
    <t xml:space="preserve">Threadfins, tasselfishes nei</t>
  </si>
  <si>
    <t xml:space="preserve">Torpedo-shaped catfishes nei</t>
  </si>
  <si>
    <t xml:space="preserve">Emperors(=Scavengers) nei</t>
  </si>
  <si>
    <t xml:space="preserve">Characins nei</t>
  </si>
  <si>
    <t xml:space="preserve">Elongate ilisha (Ilisha elongata)</t>
  </si>
  <si>
    <t xml:space="preserve">31-42</t>
  </si>
  <si>
    <t xml:space="preserve">South Pacific hake (Merluccius gayi gayi)</t>
  </si>
  <si>
    <t xml:space="preserve">886-2,699</t>
  </si>
  <si>
    <t xml:space="preserve">Tuna-like fishes nei (Scombroidei)</t>
  </si>
  <si>
    <t xml:space="preserve">54-180,000</t>
  </si>
  <si>
    <t xml:space="preserve">Large yellow croaker (Larimichthys crocea)</t>
  </si>
  <si>
    <t xml:space="preserve">451-3,490</t>
  </si>
  <si>
    <t xml:space="preserve">Spinefeet(=Rabbitfishes) nei</t>
  </si>
  <si>
    <t xml:space="preserve">Black pomfret (Parastromateus niger)</t>
  </si>
  <si>
    <t xml:space="preserve">583-583</t>
  </si>
  <si>
    <t xml:space="preserve">Grunts, sweetlips nei</t>
  </si>
  <si>
    <t xml:space="preserve">Butterfishes, pomfrets nei (Stromateidae)</t>
  </si>
  <si>
    <t xml:space="preserve">80-500</t>
  </si>
  <si>
    <t xml:space="preserve">Southern blue whiting (Micromesistius australis)</t>
  </si>
  <si>
    <t xml:space="preserve">Brazilian sardinella (Sardinella janeiro)</t>
  </si>
  <si>
    <t xml:space="preserve">72-72</t>
  </si>
  <si>
    <t xml:space="preserve">Snappers, jobfishes nei</t>
  </si>
  <si>
    <t xml:space="preserve">Mote sculpin</t>
  </si>
  <si>
    <t xml:space="preserve">Cunene horse mackerel (Trachurus trecae)</t>
  </si>
  <si>
    <t xml:space="preserve">21-498</t>
  </si>
  <si>
    <t xml:space="preserve">Bali sardinella (Sardinella lemuru)</t>
  </si>
  <si>
    <t xml:space="preserve">49-112</t>
  </si>
  <si>
    <t xml:space="preserve">Striped snakehead</t>
  </si>
  <si>
    <t xml:space="preserve">Black and Caspian Sea sprat (Clupeonella cultriventris)</t>
  </si>
  <si>
    <t xml:space="preserve">3-4</t>
  </si>
  <si>
    <t xml:space="preserve">Lake Malawi sardine (Engraulicypris sardella)</t>
  </si>
  <si>
    <t xml:space="preserve">Beaked redfish (Sebastes mentella)</t>
  </si>
  <si>
    <t xml:space="preserve">195-195</t>
  </si>
  <si>
    <t xml:space="preserve">Demersal percomorphs nei</t>
  </si>
  <si>
    <t xml:space="preserve">Flyingfishes nei</t>
  </si>
  <si>
    <t xml:space="preserve">Groupers, seabasses nei</t>
  </si>
  <si>
    <t xml:space="preserve">Japanese Spanish mackerel (Scomberomorus niphonius)</t>
  </si>
  <si>
    <t xml:space="preserve">1,562-2,130</t>
  </si>
  <si>
    <t xml:space="preserve">Golden redfish</t>
  </si>
  <si>
    <t xml:space="preserve">Norway pout (Trisopterus esmarkii)</t>
  </si>
  <si>
    <t xml:space="preserve">20-28</t>
  </si>
  <si>
    <t xml:space="preserve">Threadfin and dwarf breams nei</t>
  </si>
  <si>
    <t xml:space="preserve">Rock sole</t>
  </si>
  <si>
    <t xml:space="preserve">Dagaas (=Kapenta) (Stolothrissa, Limnothrissa spp)</t>
  </si>
  <si>
    <t xml:space="preserve">Boarfish</t>
  </si>
  <si>
    <t xml:space="preserve">Wolf-herrings nei (Chirocentrus spp)</t>
  </si>
  <si>
    <t xml:space="preserve">90-757</t>
  </si>
  <si>
    <t xml:space="preserve">Silver pomfret (Pampus argenteus)</t>
  </si>
  <si>
    <t xml:space="preserve">Prochilods nei</t>
  </si>
  <si>
    <t xml:space="preserve">Mackerels nei</t>
  </si>
  <si>
    <t xml:space="preserve">5,411-8,249</t>
  </si>
  <si>
    <t xml:space="preserve">Whitehead's round herring (Etrumeus whiteheadi)</t>
  </si>
  <si>
    <t xml:space="preserve">29-40</t>
  </si>
  <si>
    <t xml:space="preserve">Atka mackerel (Pleurogrammus monopterygius)</t>
  </si>
  <si>
    <t xml:space="preserve">697-748</t>
  </si>
  <si>
    <t xml:space="preserve">Indo-Pacific king mackerel (Scomberomorus guttatus)</t>
  </si>
  <si>
    <t xml:space="preserve">730-730</t>
  </si>
  <si>
    <t xml:space="preserve">Atlantic redfishes nei (Sebastes spp)</t>
  </si>
  <si>
    <t xml:space="preserve">109-1,284</t>
  </si>
  <si>
    <t xml:space="preserve">Mi-iuy (brown) croaker</t>
  </si>
  <si>
    <t xml:space="preserve">Tilefishes nei</t>
  </si>
  <si>
    <t xml:space="preserve">Freshwater bream (Abramis brama)</t>
  </si>
  <si>
    <t xml:space="preserve">3,600-3,600</t>
  </si>
  <si>
    <t xml:space="preserve">West African croakers nei</t>
  </si>
  <si>
    <t xml:space="preserve">Chocolate hind</t>
  </si>
  <si>
    <t xml:space="preserve">Gobies nei</t>
  </si>
  <si>
    <t xml:space="preserve">Whiting (Merlangius merlangus)</t>
  </si>
  <si>
    <t xml:space="preserve">122-165</t>
  </si>
  <si>
    <t xml:space="preserve">Scorpionfishes, redfishes nei</t>
  </si>
  <si>
    <t xml:space="preserve">Halfbeaks nei</t>
  </si>
  <si>
    <t xml:space="preserve">Pacific ocean perch (Sebastes alutus)</t>
  </si>
  <si>
    <t xml:space="preserve">Eastern Pacific bonito (Sarda chiliensis chiliensis)</t>
  </si>
  <si>
    <t xml:space="preserve">4,000-4,000</t>
  </si>
  <si>
    <t xml:space="preserve">Snoek (Thyrsites atun)</t>
  </si>
  <si>
    <t xml:space="preserve">2,289-2,289</t>
  </si>
  <si>
    <t xml:space="preserve">Californian anchovy (Engraulis mordax)</t>
  </si>
  <si>
    <t xml:space="preserve">22-22</t>
  </si>
  <si>
    <t xml:space="preserve">Ling</t>
  </si>
  <si>
    <t xml:space="preserve">Cichlids nei</t>
  </si>
  <si>
    <t xml:space="preserve">Arrowtooth flounder (Atheresthes stomias)</t>
  </si>
  <si>
    <t xml:space="preserve">131-260</t>
  </si>
  <si>
    <t xml:space="preserve">Nurse tetra (Brycinus nurse)</t>
  </si>
  <si>
    <t xml:space="preserve">Stingrays, butterfly rays nei</t>
  </si>
  <si>
    <t xml:space="preserve">Blue marlin (Makaira nigricans)</t>
  </si>
  <si>
    <t xml:space="preserve">180,000-180,000</t>
  </si>
  <si>
    <t xml:space="preserve">Bogue (Boops boops)</t>
  </si>
  <si>
    <t xml:space="preserve">58-112</t>
  </si>
  <si>
    <t xml:space="preserve">Argentines (Argentina spp)</t>
  </si>
  <si>
    <t xml:space="preserve">56-1,079</t>
  </si>
  <si>
    <t xml:space="preserve">Elephantsnout fishes nei</t>
  </si>
  <si>
    <t xml:space="preserve">Requiem sharks nei</t>
  </si>
  <si>
    <t xml:space="preserve">Common sole (Solea solea)</t>
  </si>
  <si>
    <t xml:space="preserve">23-971</t>
  </si>
  <si>
    <t xml:space="preserve">False trevally</t>
  </si>
  <si>
    <t xml:space="preserve">Pink cusk-eel (Genypterus blacodes)</t>
  </si>
  <si>
    <t xml:space="preserve">Rainbow sardine (Dussumieria acuta)</t>
  </si>
  <si>
    <t xml:space="preserve">23-28</t>
  </si>
  <si>
    <t xml:space="preserve">Pelagic percomorphs nei</t>
  </si>
  <si>
    <t xml:space="preserve">Southern hake</t>
  </si>
  <si>
    <t xml:space="preserve">Mudfish</t>
  </si>
  <si>
    <t xml:space="preserve">Monkfishes nei</t>
  </si>
  <si>
    <t xml:space="preserve">Goatfishes, red mullets nei (Mullidae)</t>
  </si>
  <si>
    <t xml:space="preserve">7-313</t>
  </si>
  <si>
    <t xml:space="preserve">Antarctic rockcods, noties nei (Nototheniidae)</t>
  </si>
  <si>
    <t xml:space="preserve">21-10,000</t>
  </si>
  <si>
    <t xml:space="preserve">Atlantic bonito (Sarda sarda)</t>
  </si>
  <si>
    <t xml:space="preserve">1,818-5,000</t>
  </si>
  <si>
    <t xml:space="preserve">Falkland sprat (Sprattus fuegensis)</t>
  </si>
  <si>
    <t xml:space="preserve">16-19</t>
  </si>
  <si>
    <t xml:space="preserve">Queenfishes</t>
  </si>
  <si>
    <t xml:space="preserve">154-154</t>
  </si>
  <si>
    <t xml:space="preserve">Saffron cod</t>
  </si>
  <si>
    <t xml:space="preserve">Bigeye grunt (Brachydeuterus auritus)</t>
  </si>
  <si>
    <t xml:space="preserve">10-45</t>
  </si>
  <si>
    <t xml:space="preserve">Climbing perch</t>
  </si>
  <si>
    <t xml:space="preserve">Angler(=Monk) (Lophius piscatorius)</t>
  </si>
  <si>
    <t xml:space="preserve">30,000-30,000</t>
  </si>
  <si>
    <t xml:space="preserve">Indo-Pacific sailfish (Istiophorus platypterus)</t>
  </si>
  <si>
    <t xml:space="preserve">13,640-27,270</t>
  </si>
  <si>
    <t xml:space="preserve">Tonguefishes</t>
  </si>
  <si>
    <t xml:space="preserve">Japanese scad (Decapterus maruadsi)</t>
  </si>
  <si>
    <t xml:space="preserve">Longtail Southern cod</t>
  </si>
  <si>
    <t xml:space="preserve">Dentex nei</t>
  </si>
  <si>
    <t xml:space="preserve">European perch (Perca fluviatilis)</t>
  </si>
  <si>
    <t xml:space="preserve">1,200-1,200</t>
  </si>
  <si>
    <t xml:space="preserve">Shortfin scad</t>
  </si>
  <si>
    <t xml:space="preserve">Pacific halibut (Hippoglossus stenolepis)</t>
  </si>
  <si>
    <t xml:space="preserve">13,640-18,180</t>
  </si>
  <si>
    <t xml:space="preserve">Grass carp(=White amur) (Ctenopharyngodon idella)</t>
  </si>
  <si>
    <t xml:space="preserve">29,540-36,360</t>
  </si>
  <si>
    <t xml:space="preserve">Northern pike (Esox lucius)</t>
  </si>
  <si>
    <t xml:space="preserve">4,500-4,500</t>
  </si>
  <si>
    <t xml:space="preserve">Weakfishes nei</t>
  </si>
  <si>
    <t xml:space="preserve">Greater lizardfish</t>
  </si>
  <si>
    <t xml:space="preserve">Indian halibut (Psettodes erumei)</t>
  </si>
  <si>
    <t xml:space="preserve">941-941</t>
  </si>
  <si>
    <t xml:space="preserve">Tusk(=Cusk) (Brosme brosme)</t>
  </si>
  <si>
    <t xml:space="preserve">8,000-8,000</t>
  </si>
  <si>
    <t xml:space="preserve">Rays and skates nei</t>
  </si>
  <si>
    <t xml:space="preserve">Silver seabream</t>
  </si>
  <si>
    <t xml:space="preserve">Sillago-whitings</t>
  </si>
  <si>
    <t xml:space="preserve">Bobo croaker (Pseudotolithus elongatus)</t>
  </si>
  <si>
    <t xml:space="preserve">216-216</t>
  </si>
  <si>
    <t xml:space="preserve">Giant African threadfin</t>
  </si>
  <si>
    <t xml:space="preserve">Grenadiers, rattails nei</t>
  </si>
  <si>
    <t xml:space="preserve">Spotted sardinella</t>
  </si>
  <si>
    <t xml:space="preserve">Laulao catfish</t>
  </si>
  <si>
    <t xml:space="preserve">Silversides(=Sand smelts) nei</t>
  </si>
  <si>
    <t xml:space="preserve">Patagonian toothfish (Dissostichus eleginoides)</t>
  </si>
  <si>
    <t xml:space="preserve">9,000-10,000</t>
  </si>
  <si>
    <t xml:space="preserve">Mediterranean horse mackerel (Trachurus mediterraneus)</t>
  </si>
  <si>
    <t xml:space="preserve">11-600</t>
  </si>
  <si>
    <t xml:space="preserve">Coho(=Silver) salmon (Oncorhynchus kisutch)</t>
  </si>
  <si>
    <t xml:space="preserve">6,000-6,000</t>
  </si>
  <si>
    <t xml:space="preserve">Asian redtail catfish</t>
  </si>
  <si>
    <t xml:space="preserve">Pike-congers nei</t>
  </si>
  <si>
    <t xml:space="preserve">West African ilisha</t>
  </si>
  <si>
    <t xml:space="preserve">Atlantic bumper (Chloroscombrus chrysurus)</t>
  </si>
  <si>
    <t xml:space="preserve">21-140</t>
  </si>
  <si>
    <t xml:space="preserve">Upsidedown catfishes</t>
  </si>
  <si>
    <t xml:space="preserve">Sablefish (Anoplopoma fimbria)</t>
  </si>
  <si>
    <t xml:space="preserve">4,536-4,536</t>
  </si>
  <si>
    <t xml:space="preserve">Little tunny(=Atl.black skipj) (Euthynnus alletteratus)</t>
  </si>
  <si>
    <t xml:space="preserve">3,723-5,548</t>
  </si>
  <si>
    <t xml:space="preserve">Acoupa weakfish (Cynoscion acoupa)</t>
  </si>
  <si>
    <t xml:space="preserve">European flounder (Platichthys flesus)</t>
  </si>
  <si>
    <t xml:space="preserve">239-367</t>
  </si>
  <si>
    <t xml:space="preserve">Southern rays bream (Brama australis)</t>
  </si>
  <si>
    <t xml:space="preserve">Needlefishes nei</t>
  </si>
  <si>
    <t xml:space="preserve">Stripped weakfish (Cynoscion guatucupa)</t>
  </si>
  <si>
    <t xml:space="preserve">Naked catfishes</t>
  </si>
  <si>
    <t xml:space="preserve">Longnose anchovy</t>
  </si>
  <si>
    <t xml:space="preserve">Argentine anchovy (Engraulis anchoita)</t>
  </si>
  <si>
    <t xml:space="preserve">4-31</t>
  </si>
  <si>
    <t xml:space="preserve">Leopard coralgrouper</t>
  </si>
  <si>
    <t xml:space="preserve">Yellow striped flounder</t>
  </si>
  <si>
    <t xml:space="preserve">Moonfish</t>
  </si>
  <si>
    <t xml:space="preserve">Rainbow runner (Elagatis bipinnulata)</t>
  </si>
  <si>
    <t xml:space="preserve">10,000-10,000</t>
  </si>
  <si>
    <t xml:space="preserve">African Bonytongue (Heterotis niloticus)</t>
  </si>
  <si>
    <t xml:space="preserve">2,244-3,060</t>
  </si>
  <si>
    <t xml:space="preserve">Wrasses, hogfishes, etc. nei</t>
  </si>
  <si>
    <t xml:space="preserve">Chacunda gizzard shad (Anodontostoma chacunda)</t>
  </si>
  <si>
    <t xml:space="preserve">78-79</t>
  </si>
  <si>
    <t xml:space="preserve">Lesser African threadfin</t>
  </si>
  <si>
    <t xml:space="preserve">12,794-12,794</t>
  </si>
  <si>
    <t xml:space="preserve">Atlantic bluefin tuna (Thunnus thynnus)</t>
  </si>
  <si>
    <t xml:space="preserve">262,000-262,000</t>
  </si>
  <si>
    <t xml:space="preserve">Pacific menhaden (Ethmidium maculatum)</t>
  </si>
  <si>
    <t xml:space="preserve">39-53</t>
  </si>
  <si>
    <t xml:space="preserve">Pike-perch (Sander lucioperca)</t>
  </si>
  <si>
    <t xml:space="preserve">146-1,200</t>
  </si>
  <si>
    <t xml:space="preserve">Moras nei</t>
  </si>
  <si>
    <t xml:space="preserve">African lungfishes (Protopterus spp)</t>
  </si>
  <si>
    <t xml:space="preserve">217-5,100</t>
  </si>
  <si>
    <t xml:space="preserve">Mouthbrooding cichlids</t>
  </si>
  <si>
    <t xml:space="preserve">Roaches nei</t>
  </si>
  <si>
    <t xml:space="preserve">Bagrid catfish (Chrysichthys nigrodigitatus)</t>
  </si>
  <si>
    <t xml:space="preserve">951-1,296</t>
  </si>
  <si>
    <t xml:space="preserve">Flathead sole</t>
  </si>
  <si>
    <t xml:space="preserve">Indian pellona</t>
  </si>
  <si>
    <t xml:space="preserve">Silver hake (Merluccius bilinearis)</t>
  </si>
  <si>
    <t xml:space="preserve">1,298-1,524</t>
  </si>
  <si>
    <t xml:space="preserve">Talang queenfish</t>
  </si>
  <si>
    <t xml:space="preserve">Bluefish (Pomatomus saltatrix)</t>
  </si>
  <si>
    <t xml:space="preserve">1,943-1,943</t>
  </si>
  <si>
    <t xml:space="preserve">Pacific bluefin tuna (Thunnus orientalis)</t>
  </si>
  <si>
    <t xml:space="preserve">38,000-99,300</t>
  </si>
  <si>
    <t xml:space="preserve">Oilfish</t>
  </si>
  <si>
    <t xml:space="preserve">Black marlin (Makaira indica)</t>
  </si>
  <si>
    <t xml:space="preserve">85,000-90,000</t>
  </si>
  <si>
    <t xml:space="preserve">Kissing prochilodus (Semaprochilodus insignis)</t>
  </si>
  <si>
    <t xml:space="preserve">Argentine croaker (Umbrina canosai)</t>
  </si>
  <si>
    <t xml:space="preserve">394-739</t>
  </si>
  <si>
    <t xml:space="preserve">Picked dogfish (Squalus acanthias)</t>
  </si>
  <si>
    <t xml:space="preserve">3,000-4,500</t>
  </si>
  <si>
    <t xml:space="preserve">Blue mackerel (Scomber australasicus)</t>
  </si>
  <si>
    <t xml:space="preserve">Red mullet (Mullus barbatus barbatus)</t>
  </si>
  <si>
    <t xml:space="preserve">South American silver croaker</t>
  </si>
  <si>
    <t xml:space="preserve">Glass catfishes</t>
  </si>
  <si>
    <t xml:space="preserve">Lumpfish(=Lumpsucker) (Cyclopterus lumpus)</t>
  </si>
  <si>
    <t xml:space="preserve">2,000-7,000</t>
  </si>
  <si>
    <t xml:space="preserve">Southern meagre(=Mulloway)</t>
  </si>
  <si>
    <t xml:space="preserve">Whitespotted conger</t>
  </si>
  <si>
    <t xml:space="preserve">Pangasius djambal</t>
  </si>
  <si>
    <t xml:space="preserve">European conger (Conger conger)</t>
  </si>
  <si>
    <t xml:space="preserve">1,718-14,854</t>
  </si>
  <si>
    <t xml:space="preserve">King mackerel (Scomberomorus cavalla)</t>
  </si>
  <si>
    <t xml:space="preserve">Anglerfishes nei (Lophiidae)</t>
  </si>
  <si>
    <t xml:space="preserve">413-30,000</t>
  </si>
  <si>
    <t xml:space="preserve">Finfishes nei</t>
  </si>
  <si>
    <t xml:space="preserve">Surmullet (Mullus surmuletus)</t>
  </si>
  <si>
    <t xml:space="preserve">81-260</t>
  </si>
  <si>
    <t xml:space="preserve">Groundfishes nei</t>
  </si>
  <si>
    <t xml:space="preserve">Great barracuda (Sphyraena barracuda)</t>
  </si>
  <si>
    <t xml:space="preserve">907-9,072</t>
  </si>
  <si>
    <t xml:space="preserve">Atlantic wolffish (Anarhichas lupus)</t>
  </si>
  <si>
    <t xml:space="preserve">6,804-6,804</t>
  </si>
  <si>
    <t xml:space="preserve">Atlantic thread herring (Opisthonema oglinum)</t>
  </si>
  <si>
    <t xml:space="preserve">65-91</t>
  </si>
  <si>
    <t xml:space="preserve">Japanese sandfish</t>
  </si>
  <si>
    <t xml:space="preserve">Aba (Gymnarchus niloticus)</t>
  </si>
  <si>
    <t xml:space="preserve">4,070-5,550</t>
  </si>
  <si>
    <t xml:space="preserve">Common pandora</t>
  </si>
  <si>
    <t xml:space="preserve">Citharinus nei</t>
  </si>
  <si>
    <t xml:space="preserve">Snooks(=Robalos) nei</t>
  </si>
  <si>
    <t xml:space="preserve">Giant trevally</t>
  </si>
  <si>
    <t xml:space="preserve">Pelagic fishes nei</t>
  </si>
  <si>
    <t xml:space="preserve">Spangled emperor</t>
  </si>
  <si>
    <t xml:space="preserve">Lake Tanganyika sardine (Limnothrissa miodon)</t>
  </si>
  <si>
    <t xml:space="preserve">Pouting(=Bib)</t>
  </si>
  <si>
    <t xml:space="preserve">6,364-18,182</t>
  </si>
  <si>
    <t xml:space="preserve">Megrim</t>
  </si>
  <si>
    <t xml:space="preserve">Wels(=Som) catfish (Silurus glanis)</t>
  </si>
  <si>
    <t xml:space="preserve">100,000-200,000</t>
  </si>
  <si>
    <t xml:space="preserve">Smooth-hounds nei</t>
  </si>
  <si>
    <t xml:space="preserve">600-600</t>
  </si>
  <si>
    <t xml:space="preserve">Thresher sharks nei</t>
  </si>
  <si>
    <t xml:space="preserve">Salmonoids nei</t>
  </si>
  <si>
    <t xml:space="preserve">Shortfin mako (Isurus oxyrinchus)</t>
  </si>
  <si>
    <t xml:space="preserve">60,000-135,000</t>
  </si>
  <si>
    <t xml:space="preserve">King weakfish</t>
  </si>
  <si>
    <t xml:space="preserve">Kutum</t>
  </si>
  <si>
    <t xml:space="preserve">Kissing gourami</t>
  </si>
  <si>
    <t xml:space="preserve">Crevalle jack (Caranx hippos)</t>
  </si>
  <si>
    <t xml:space="preserve">1,361-2,268</t>
  </si>
  <si>
    <t xml:space="preserve">6,042-6,298</t>
  </si>
  <si>
    <t xml:space="preserve">Puffers nei</t>
  </si>
  <si>
    <t xml:space="preserve">Devil anglerfish</t>
  </si>
  <si>
    <t xml:space="preserve">Red porgy (Pagrus pagrus)</t>
  </si>
  <si>
    <t xml:space="preserve">660-660</t>
  </si>
  <si>
    <t xml:space="preserve">Atlantic pomfret (Brama brama)</t>
  </si>
  <si>
    <t xml:space="preserve">737-1,260</t>
  </si>
  <si>
    <t xml:space="preserve">Pacific sierra (Scomberomorus sierra)</t>
  </si>
  <si>
    <t xml:space="preserve">1,814-1,814</t>
  </si>
  <si>
    <t xml:space="preserve">Three spot gourami</t>
  </si>
  <si>
    <t xml:space="preserve">Southern bluefin tuna (Thunnus maccoyii)</t>
  </si>
  <si>
    <t xml:space="preserve">7,000-28,333</t>
  </si>
  <si>
    <t xml:space="preserve">Silver scabbardfish (Lepidopus caudatus)</t>
  </si>
  <si>
    <t xml:space="preserve">1,000-2,300</t>
  </si>
  <si>
    <t xml:space="preserve">Surmullets(=Red mullets) nei (Mullus spp)</t>
  </si>
  <si>
    <t xml:space="preserve">81-1,000</t>
  </si>
  <si>
    <t xml:space="preserve">Marlins,sailfishes,etc. nei</t>
  </si>
  <si>
    <t xml:space="preserve">Orange roughy (Hoplostethus atlanticus)</t>
  </si>
  <si>
    <t xml:space="preserve">Gurnards, searobins nei</t>
  </si>
  <si>
    <t xml:space="preserve">Witch flounder (Glyptocephalus cynoglossus)</t>
  </si>
  <si>
    <t xml:space="preserve">300-1,000</t>
  </si>
  <si>
    <t xml:space="preserve">Common dab (Limanda limanda)</t>
  </si>
  <si>
    <t xml:space="preserve">166-178</t>
  </si>
  <si>
    <t xml:space="preserve">Spotted wolffish</t>
  </si>
  <si>
    <t xml:space="preserve">Lake Malawi utaka (Copadichromis virginalis)</t>
  </si>
  <si>
    <t xml:space="preserve">Lemon sole (Microstomus kitt)</t>
  </si>
  <si>
    <t xml:space="preserve">649-885</t>
  </si>
  <si>
    <t xml:space="preserve">John dory (Zeus faber)</t>
  </si>
  <si>
    <t xml:space="preserve">Triggerfishes, durgons nei</t>
  </si>
  <si>
    <t xml:space="preserve">Chinese gizzard shad</t>
  </si>
  <si>
    <t xml:space="preserve">Tarek</t>
  </si>
  <si>
    <t xml:space="preserve">Japanese seabass</t>
  </si>
  <si>
    <t xml:space="preserve">Polar cod (Boreogadus saida)</t>
  </si>
  <si>
    <t xml:space="preserve">83-112</t>
  </si>
  <si>
    <t xml:space="preserve">Netted prochilod</t>
  </si>
  <si>
    <t xml:space="preserve">Silver warehou</t>
  </si>
  <si>
    <t xml:space="preserve">Tadpole codling (Salilota australis)</t>
  </si>
  <si>
    <t xml:space="preserve">210-329</t>
  </si>
  <si>
    <t xml:space="preserve">Lake(=Common) whitefish (Coregonus clupeaformis)</t>
  </si>
  <si>
    <t xml:space="preserve">Various sharks nei</t>
  </si>
  <si>
    <t xml:space="preserve">Indonesian snakehead</t>
  </si>
  <si>
    <t xml:space="preserve">Greasy grouper</t>
  </si>
  <si>
    <t xml:space="preserve">American angler (Lophius americanus)</t>
  </si>
  <si>
    <t xml:space="preserve">3,182-6,818</t>
  </si>
  <si>
    <t xml:space="preserve">Bastard halibuts nei (Paralichthys spp)</t>
  </si>
  <si>
    <t xml:space="preserve">368-754</t>
  </si>
  <si>
    <t xml:space="preserve">Fourfinger threadfin</t>
  </si>
  <si>
    <t xml:space="preserve">Roach (Rutilus rutilus)</t>
  </si>
  <si>
    <t xml:space="preserve">69-255</t>
  </si>
  <si>
    <t xml:space="preserve">Striped marlin (Tetrapturus audax)</t>
  </si>
  <si>
    <t xml:space="preserve">56,750-113,500</t>
  </si>
  <si>
    <t xml:space="preserve">Humpback grouper</t>
  </si>
  <si>
    <t xml:space="preserve">Pollack</t>
  </si>
  <si>
    <t xml:space="preserve">150-150</t>
  </si>
  <si>
    <t xml:space="preserve">Hoplias aimara (Hoplias aimara)</t>
  </si>
  <si>
    <t xml:space="preserve">Orange-spotted grouper</t>
  </si>
  <si>
    <t xml:space="preserve">Whitefishes nei</t>
  </si>
  <si>
    <t xml:space="preserve">Freshwater perches nei</t>
  </si>
  <si>
    <t xml:space="preserve">Mystacoleucus padangensis</t>
  </si>
  <si>
    <t xml:space="preserve">Black scabbardfish (Aphanopus carbo)</t>
  </si>
  <si>
    <t xml:space="preserve">499-499</t>
  </si>
  <si>
    <t xml:space="preserve">Conger eels, etc. nei</t>
  </si>
  <si>
    <t xml:space="preserve">Dogfish sharks nei</t>
  </si>
  <si>
    <t xml:space="preserve">Terapon perches nei</t>
  </si>
  <si>
    <t xml:space="preserve">Yellowtail flounder (Limanda ferruginea)</t>
  </si>
  <si>
    <t xml:space="preserve">500-600</t>
  </si>
  <si>
    <t xml:space="preserve">Yellowtail snapper (Ocyurus chrysurus)</t>
  </si>
  <si>
    <t xml:space="preserve">750-2,000</t>
  </si>
  <si>
    <t xml:space="preserve">300-10,000</t>
  </si>
  <si>
    <t xml:space="preserve">Red pandora</t>
  </si>
  <si>
    <t xml:space="preserve">Gadiformes nei</t>
  </si>
  <si>
    <t xml:space="preserve">Lake Tanganyika sprat (Stolothrissa tanganicae)</t>
  </si>
  <si>
    <t xml:space="preserve">Pink ear emperor</t>
  </si>
  <si>
    <t xml:space="preserve">Grass-eaters nei</t>
  </si>
  <si>
    <t xml:space="preserve">Chinook(=Spring=King) salmon (Oncorhynchus tshawytscha)</t>
  </si>
  <si>
    <t xml:space="preserve">8,341-8,341</t>
  </si>
  <si>
    <t xml:space="preserve">Black seabream (Spondyliosoma cantharus)</t>
  </si>
  <si>
    <t xml:space="preserve">Brazilian flathead (Percophis brasiliensis)</t>
  </si>
  <si>
    <t xml:space="preserve">4-33</t>
  </si>
  <si>
    <t xml:space="preserve">Dover sole</t>
  </si>
  <si>
    <t xml:space="preserve">Atlantic Spanish mackerel (Scomberomorus maculatus)</t>
  </si>
  <si>
    <t xml:space="preserve">907-2,722</t>
  </si>
  <si>
    <t xml:space="preserve">Mojarras(=Silver-biddies) nei</t>
  </si>
  <si>
    <t xml:space="preserve">Surgeonfishes nei</t>
  </si>
  <si>
    <t xml:space="preserve">Goldfish (Carassius auratus auratus)</t>
  </si>
  <si>
    <t xml:space="preserve">7-567</t>
  </si>
  <si>
    <t xml:space="preserve">Bullet tuna (Auxis rochei rochei)</t>
  </si>
  <si>
    <t xml:space="preserve">861-890</t>
  </si>
  <si>
    <t xml:space="preserve">Gilded catfish2 (Brachyplatystoma rousseauxii)</t>
  </si>
  <si>
    <t xml:space="preserve">Pompanos nei</t>
  </si>
  <si>
    <t xml:space="preserve">Black catfishes nei (Chrysichthys spp)</t>
  </si>
  <si>
    <t xml:space="preserve">3-40,500</t>
  </si>
  <si>
    <t xml:space="preserve">Southern red snapper</t>
  </si>
  <si>
    <t xml:space="preserve">590-6,254</t>
  </si>
  <si>
    <t xml:space="preserve">Blue ling (Molva dypterygia)</t>
  </si>
  <si>
    <t xml:space="preserve">6,600-9,000</t>
  </si>
  <si>
    <t xml:space="preserve">Tigertooth croaker (Otolithes ruber)</t>
  </si>
  <si>
    <t xml:space="preserve">953-953</t>
  </si>
  <si>
    <t xml:space="preserve">Skinnycheek lanternfish</t>
  </si>
  <si>
    <t xml:space="preserve">Blue runner (Caranx crysos)</t>
  </si>
  <si>
    <t xml:space="preserve">1,164-1,164</t>
  </si>
  <si>
    <t xml:space="preserve">Smelts nei</t>
  </si>
  <si>
    <t xml:space="preserve">Walleye (Sander vitreus)</t>
  </si>
  <si>
    <t xml:space="preserve">907-1,814</t>
  </si>
  <si>
    <t xml:space="preserve">Senegalese hake</t>
  </si>
  <si>
    <t xml:space="preserve">Silvery lightfish</t>
  </si>
  <si>
    <t xml:space="preserve">Blue butterfish</t>
  </si>
  <si>
    <t xml:space="preserve">Soles nei</t>
  </si>
  <si>
    <t xml:space="preserve">Northern wolffish</t>
  </si>
  <si>
    <t xml:space="preserve">Pargo breams nei</t>
  </si>
  <si>
    <t xml:space="preserve">Kingklip (Genypterus capensis)</t>
  </si>
  <si>
    <t xml:space="preserve">3,300-4,500</t>
  </si>
  <si>
    <t xml:space="preserve">Greenback horse mackerel (Trachurus declivis)</t>
  </si>
  <si>
    <t xml:space="preserve">850-850</t>
  </si>
  <si>
    <t xml:space="preserve">Whitefin wolf-herring (Chirocentrus nudus)</t>
  </si>
  <si>
    <t xml:space="preserve">90-123</t>
  </si>
  <si>
    <t xml:space="preserve">Narrownose smooth-hound</t>
  </si>
  <si>
    <t xml:space="preserve">Whitespotted wedgefish</t>
  </si>
  <si>
    <t xml:space="preserve">Small-spotted catshark</t>
  </si>
  <si>
    <t xml:space="preserve">False scad (Caranx rhonchus)</t>
  </si>
  <si>
    <t xml:space="preserve">34-933</t>
  </si>
  <si>
    <t xml:space="preserve">Honeycomb grouper</t>
  </si>
  <si>
    <t xml:space="preserve">Dotted gizzard shad</t>
  </si>
  <si>
    <t xml:space="preserve">Dorab wolf-herring (Chirocentrus dorab)</t>
  </si>
  <si>
    <t xml:space="preserve">717-757</t>
  </si>
  <si>
    <t xml:space="preserve">Rubberlip grunt</t>
  </si>
  <si>
    <t xml:space="preserve">Piranhas nei (Serrasalmus spp)</t>
  </si>
  <si>
    <t xml:space="preserve">Corvina drum</t>
  </si>
  <si>
    <t xml:space="preserve">Brazilian codling (Urophycis brasiliensis)</t>
  </si>
  <si>
    <t xml:space="preserve">118-121</t>
  </si>
  <si>
    <t xml:space="preserve">Blue jack mackerel</t>
  </si>
  <si>
    <t xml:space="preserve">Freshwater gobies nei</t>
  </si>
  <si>
    <t xml:space="preserve">Diadromous clupeoids nei</t>
  </si>
  <si>
    <t xml:space="preserve">Bayad (Bagrus bajad)</t>
  </si>
  <si>
    <t xml:space="preserve">Nilem carp</t>
  </si>
  <si>
    <t xml:space="preserve">Monocle breams</t>
  </si>
  <si>
    <t xml:space="preserve">Vendace</t>
  </si>
  <si>
    <t xml:space="preserve">Striped weakfish</t>
  </si>
  <si>
    <t xml:space="preserve">21,000-21,000</t>
  </si>
  <si>
    <t xml:space="preserve">Indian threadfin (Leptomelanosoma indicum)</t>
  </si>
  <si>
    <t xml:space="preserve">Amer. plaice(=Long rough dab) (Hippoglossoides platessoides)</t>
  </si>
  <si>
    <t xml:space="preserve">909-2,500</t>
  </si>
  <si>
    <t xml:space="preserve">West African goatfish</t>
  </si>
  <si>
    <t xml:space="preserve">Hammerhead sharks, etc. nei</t>
  </si>
  <si>
    <t xml:space="preserve">African sicklefish (Drepane africana)</t>
  </si>
  <si>
    <t xml:space="preserve">165-225</t>
  </si>
  <si>
    <t xml:space="preserve">Blackbelly rosefish (Helicolenus dactylopterus dactylopterus)</t>
  </si>
  <si>
    <t xml:space="preserve">218-284</t>
  </si>
  <si>
    <t xml:space="preserve">Gilded catfish (Zungaro zungaro)</t>
  </si>
  <si>
    <t xml:space="preserve">Pacific cornetfish</t>
  </si>
  <si>
    <t xml:space="preserve">2,065-11,225</t>
  </si>
  <si>
    <t xml:space="preserve">Alfonsinos nei (Beryx spp)</t>
  </si>
  <si>
    <t xml:space="preserve">596-3,239</t>
  </si>
  <si>
    <t xml:space="preserve">Red codling (Pseudophycis bachus)</t>
  </si>
  <si>
    <t xml:space="preserve">1,500-2,500</t>
  </si>
  <si>
    <t xml:space="preserve">Scup (Stenotomus chrysops)</t>
  </si>
  <si>
    <t xml:space="preserve">750-750</t>
  </si>
  <si>
    <t xml:space="preserve">Atlantic saury (Scomberesox saurus saurus)</t>
  </si>
  <si>
    <t xml:space="preserve">80-110</t>
  </si>
  <si>
    <t xml:space="preserve">King soldier bream</t>
  </si>
  <si>
    <t xml:space="preserve">Javelin grunter</t>
  </si>
  <si>
    <t xml:space="preserve">Orfe(=Ide)</t>
  </si>
  <si>
    <t xml:space="preserve">Summer flounder (Paralichthys dentatus)</t>
  </si>
  <si>
    <t xml:space="preserve">907-2,268</t>
  </si>
  <si>
    <t xml:space="preserve">Atlantic croaker (Micropogonias undulatus)</t>
  </si>
  <si>
    <t xml:space="preserve">227-909</t>
  </si>
  <si>
    <t xml:space="preserve">Japanese threadfin bream (Nemipterus japonicus)</t>
  </si>
  <si>
    <t xml:space="preserve">42-309</t>
  </si>
  <si>
    <t xml:space="preserve">Shallow-water Cape hake (Merluccius capensis)</t>
  </si>
  <si>
    <t xml:space="preserve">490-2,030</t>
  </si>
  <si>
    <t xml:space="preserve">Eagle rays nei</t>
  </si>
  <si>
    <t xml:space="preserve">Silky shark</t>
  </si>
  <si>
    <t xml:space="preserve">Picarels nei</t>
  </si>
  <si>
    <t xml:space="preserve">Smooth oreo dory</t>
  </si>
  <si>
    <t xml:space="preserve">Atlantic searobins (Prionotus spp)</t>
  </si>
  <si>
    <t xml:space="preserve">121-527</t>
  </si>
  <si>
    <t xml:space="preserve">Pangas catfishes nei</t>
  </si>
  <si>
    <t xml:space="preserve">Loweye catfishes nei (Hypophthalmus spp)</t>
  </si>
  <si>
    <t xml:space="preserve">Roundnose grenadier (Coryphaenoides rupestris)</t>
  </si>
  <si>
    <t xml:space="preserve">372-507</t>
  </si>
  <si>
    <t xml:space="preserve">Cassava croaker (Pseudotolithus senegalensis)</t>
  </si>
  <si>
    <t xml:space="preserve">Megrims nei</t>
  </si>
  <si>
    <t xml:space="preserve">Oreo dories nei</t>
  </si>
  <si>
    <t xml:space="preserve">Paralabrax spp</t>
  </si>
  <si>
    <t xml:space="preserve">Pacific red snapper</t>
  </si>
  <si>
    <t xml:space="preserve">Bluefin gurnard (Chelidonichthys kumu)</t>
  </si>
  <si>
    <t xml:space="preserve">603-603</t>
  </si>
  <si>
    <t xml:space="preserve">Curimata cyprinoides (Curimata cyprinoides)</t>
  </si>
  <si>
    <t xml:space="preserve">Twobar seabream</t>
  </si>
  <si>
    <t xml:space="preserve">Sorubims nei (Pseudoplatystoma spp)</t>
  </si>
  <si>
    <t xml:space="preserve">Striped bonito (Sarda orientalis)</t>
  </si>
  <si>
    <t xml:space="preserve">3,000-3,000</t>
  </si>
  <si>
    <t xml:space="preserve">Northern red snapper (Lutjanus campechanus)</t>
  </si>
  <si>
    <t xml:space="preserve">European smelt</t>
  </si>
  <si>
    <t xml:space="preserve">Pandoras nei</t>
  </si>
  <si>
    <t xml:space="preserve">Tope shark (Galeorhinus galeus)</t>
  </si>
  <si>
    <t xml:space="preserve">25,000-25,000</t>
  </si>
  <si>
    <t xml:space="preserve">Warehou nei</t>
  </si>
  <si>
    <t xml:space="preserve">Australian salmon (Arripis trutta)</t>
  </si>
  <si>
    <t xml:space="preserve">200-3,500</t>
  </si>
  <si>
    <t xml:space="preserve">Red gurnard</t>
  </si>
  <si>
    <t xml:space="preserve">Parrotfishes nei</t>
  </si>
  <si>
    <t xml:space="preserve">White mullet</t>
  </si>
  <si>
    <t xml:space="preserve">Ponyfishes(=Slipmouths)</t>
  </si>
  <si>
    <t xml:space="preserve">Catfishes nei</t>
  </si>
  <si>
    <t xml:space="preserve">114-454</t>
  </si>
  <si>
    <t xml:space="preserve">Donkey croaker (Pennahia anea)</t>
  </si>
  <si>
    <t xml:space="preserve">172-172</t>
  </si>
  <si>
    <t xml:space="preserve">White grouper (Epinephelus aeneus)</t>
  </si>
  <si>
    <t xml:space="preserve">2,419-2,419</t>
  </si>
  <si>
    <t xml:space="preserve">Tanaka's snailfish (Liparis tanakae )</t>
  </si>
  <si>
    <t xml:space="preserve">Flatheads nei</t>
  </si>
  <si>
    <t xml:space="preserve">Sompat grunt</t>
  </si>
  <si>
    <t xml:space="preserve">Schizodon fasciatus (Schizodon fasciatus)</t>
  </si>
  <si>
    <t xml:space="preserve">Mantas, devil rays nei</t>
  </si>
  <si>
    <t xml:space="preserve">European eel (Anguilla anguilla)</t>
  </si>
  <si>
    <t xml:space="preserve">3,500-3,500</t>
  </si>
  <si>
    <t xml:space="preserve">8,836-8,836</t>
  </si>
  <si>
    <t xml:space="preserve">Sargo breams nei</t>
  </si>
  <si>
    <t xml:space="preserve">Sea trout (Salmo trutta trutta)</t>
  </si>
  <si>
    <t xml:space="preserve">Thornback ray (Raja clavata)</t>
  </si>
  <si>
    <t xml:space="preserve">Rex sole (Glyptocephalus zachirus)</t>
  </si>
  <si>
    <t xml:space="preserve">Rudd</t>
  </si>
  <si>
    <t xml:space="preserve">Wahoo (Acanthocybium solandri)</t>
  </si>
  <si>
    <t xml:space="preserve">4,536-38,636</t>
  </si>
  <si>
    <t xml:space="preserve">Hoven's carp</t>
  </si>
  <si>
    <t xml:space="preserve">Morwongs</t>
  </si>
  <si>
    <t xml:space="preserve">Tub gurnard (Chelidonichthys lucernus)</t>
  </si>
  <si>
    <t xml:space="preserve">220-464</t>
  </si>
  <si>
    <t xml:space="preserve">Freshwater breams nei</t>
  </si>
  <si>
    <t xml:space="preserve">Argentine angelshark (Squatina argentina)</t>
  </si>
  <si>
    <t xml:space="preserve">9,017-9,017</t>
  </si>
  <si>
    <t xml:space="preserve">White hake (Urophycis tenuis)</t>
  </si>
  <si>
    <t xml:space="preserve">2,361-3,656</t>
  </si>
  <si>
    <t xml:space="preserve">Gudgeons, sleepers nei</t>
  </si>
  <si>
    <t xml:space="preserve">Ridge scaled rattail</t>
  </si>
  <si>
    <t xml:space="preserve">Shads nei</t>
  </si>
  <si>
    <t xml:space="preserve">Salema</t>
  </si>
  <si>
    <t xml:space="preserve">Little skate (Raja erinacea)</t>
  </si>
  <si>
    <t xml:space="preserve">Pacific rudderfish</t>
  </si>
  <si>
    <t xml:space="preserve">Peruvian weakfish</t>
  </si>
  <si>
    <t xml:space="preserve">Antarctic toothfish (Dissostichus mawsoni)</t>
  </si>
  <si>
    <t xml:space="preserve">Alewife (Alosa pseudoharengus)</t>
  </si>
  <si>
    <t xml:space="preserve">227-273</t>
  </si>
  <si>
    <t xml:space="preserve">Jobfishes nei</t>
  </si>
  <si>
    <t xml:space="preserve">Wolffishes(=Catfishes) nei</t>
  </si>
  <si>
    <t xml:space="preserve">Chirostoma spp</t>
  </si>
  <si>
    <t xml:space="preserve">Black skipjack (Euthynnus lineatus)</t>
  </si>
  <si>
    <t xml:space="preserve">695-7,165</t>
  </si>
  <si>
    <t xml:space="preserve">Deep-sea smelt</t>
  </si>
  <si>
    <t xml:space="preserve">Winter flounder (Pseudopleuronectes americanus)</t>
  </si>
  <si>
    <t xml:space="preserve">Benguela hake (Merluccius polli)</t>
  </si>
  <si>
    <t xml:space="preserve">55-467</t>
  </si>
  <si>
    <t xml:space="preserve">Royal threadfin</t>
  </si>
  <si>
    <t xml:space="preserve">Pacific bumper</t>
  </si>
  <si>
    <t xml:space="preserve">Bartail flathead (Platycephalus indicus)</t>
  </si>
  <si>
    <t xml:space="preserve">166-969</t>
  </si>
  <si>
    <t xml:space="preserve">Lane snapper</t>
  </si>
  <si>
    <t xml:space="preserve">White trevally</t>
  </si>
  <si>
    <t xml:space="preserve">White seabream</t>
  </si>
  <si>
    <t xml:space="preserve">Hakes nei</t>
  </si>
  <si>
    <t xml:space="preserve">Mojarras, etc. nei</t>
  </si>
  <si>
    <t xml:space="preserve">Bluespot mullet (Valamugil seheli)</t>
  </si>
  <si>
    <t xml:space="preserve">Cuckoo ray</t>
  </si>
  <si>
    <t xml:space="preserve">White bream</t>
  </si>
  <si>
    <t xml:space="preserve">Klunzinger's mullet (Liza klunzingeri)</t>
  </si>
  <si>
    <t xml:space="preserve">African moonfish (Selene dorsalis)</t>
  </si>
  <si>
    <t xml:space="preserve">142-494</t>
  </si>
  <si>
    <t xml:space="preserve">River eels nei</t>
  </si>
  <si>
    <t xml:space="preserve">Serra Spanish mackerel (Scomberomorus brasiliensis)</t>
  </si>
  <si>
    <t xml:space="preserve">1,476-2,013</t>
  </si>
  <si>
    <t xml:space="preserve">Pond smelt</t>
  </si>
  <si>
    <t xml:space="preserve">Sand steenbras</t>
  </si>
  <si>
    <t xml:space="preserve">Greater Argentine (Argentina silus)</t>
  </si>
  <si>
    <t xml:space="preserve">300-1,079</t>
  </si>
  <si>
    <t xml:space="preserve">Triportheus angulatus (Triportheus angulatus)</t>
  </si>
  <si>
    <t xml:space="preserve">Common warehou (Seriolella brama)</t>
  </si>
  <si>
    <t xml:space="preserve">2,200-2,200</t>
  </si>
  <si>
    <t xml:space="preserve">Eeltail catfishes</t>
  </si>
  <si>
    <t xml:space="preserve">Burbot (Lota lota)</t>
  </si>
  <si>
    <t xml:space="preserve">497-497</t>
  </si>
  <si>
    <t xml:space="preserve">Kafue pike</t>
  </si>
  <si>
    <t xml:space="preserve">Black drum (Pogonias cromis)</t>
  </si>
  <si>
    <t xml:space="preserve">13,636-13,636</t>
  </si>
  <si>
    <t xml:space="preserve">Atlantic sailfish (Istiophorus albicans)</t>
  </si>
  <si>
    <t xml:space="preserve">18,140-27,220</t>
  </si>
  <si>
    <t xml:space="preserve">West African Spanish mackerel (Scomberomorus tritor)</t>
  </si>
  <si>
    <t xml:space="preserve">1,711-1,711</t>
  </si>
  <si>
    <t xml:space="preserve">Buccaneer anchovy (Encrasicholina punctifer)</t>
  </si>
  <si>
    <t xml:space="preserve">Kamchatka flounder</t>
  </si>
  <si>
    <t xml:space="preserve">European whitefish</t>
  </si>
  <si>
    <t xml:space="preserve">Choicy ruff</t>
  </si>
  <si>
    <t xml:space="preserve">Greater amberjack (Seriola dumerili)</t>
  </si>
  <si>
    <t xml:space="preserve">8,182-27,300</t>
  </si>
  <si>
    <t xml:space="preserve">Cabinza grunt (Isacia conceptionis)</t>
  </si>
  <si>
    <t xml:space="preserve">40-55</t>
  </si>
  <si>
    <t xml:space="preserve">Mystus nigriceps</t>
  </si>
  <si>
    <t xml:space="preserve">Sleek lates (Lates stappersii)</t>
  </si>
  <si>
    <t xml:space="preserve">Argentine seabass (Acanthistius brasilianus )</t>
  </si>
  <si>
    <t xml:space="preserve">Large-eye dentex</t>
  </si>
  <si>
    <t xml:space="preserve">Silver grunt</t>
  </si>
  <si>
    <t xml:space="preserve">Giant stargazer (Kathetostoma giganteum)</t>
  </si>
  <si>
    <t xml:space="preserve">Shortjaw leatherjacket</t>
  </si>
  <si>
    <t xml:space="preserve">Blackthroat seaperch (Doederleinia berycoides)</t>
  </si>
  <si>
    <t xml:space="preserve">So-iuy mullet (Mugil soiuy)</t>
  </si>
  <si>
    <t xml:space="preserve">67-247</t>
  </si>
  <si>
    <t xml:space="preserve">Sweetlips, rubberlips nei</t>
  </si>
  <si>
    <t xml:space="preserve">Hagfishes nei</t>
  </si>
  <si>
    <t xml:space="preserve">Croakers nei</t>
  </si>
  <si>
    <t xml:space="preserve">Jamaica weakfish (Cynoscion jamaicensis)</t>
  </si>
  <si>
    <t xml:space="preserve">Striped bass (Morone saxatilis)</t>
  </si>
  <si>
    <t xml:space="preserve">6,820-15,900</t>
  </si>
  <si>
    <t xml:space="preserve">Eulachon</t>
  </si>
  <si>
    <t xml:space="preserve">Giant featherback</t>
  </si>
  <si>
    <t xml:space="preserve">Thorntooth grenadier</t>
  </si>
  <si>
    <t xml:space="preserve">Seabasses nei</t>
  </si>
  <si>
    <t xml:space="preserve">Orangespotted trevally</t>
  </si>
  <si>
    <t xml:space="preserve">Pelagic thresher</t>
  </si>
  <si>
    <t xml:space="preserve">Ayu sweetfish (Plecoglossus altivelis altivelis)</t>
  </si>
  <si>
    <t xml:space="preserve">Alfonsino</t>
  </si>
  <si>
    <t xml:space="preserve">Vermilion snapper</t>
  </si>
  <si>
    <t xml:space="preserve">Batfishes (Platax spp)</t>
  </si>
  <si>
    <t xml:space="preserve">775-3,521</t>
  </si>
  <si>
    <t xml:space="preserve">Tench (Tinca tinca)</t>
  </si>
  <si>
    <t xml:space="preserve">3,900-3,900</t>
  </si>
  <si>
    <t xml:space="preserve">Argentine (Argentina sphyraena)</t>
  </si>
  <si>
    <t xml:space="preserve">56-64</t>
  </si>
  <si>
    <t xml:space="preserve">Threadsail filefish</t>
  </si>
  <si>
    <t xml:space="preserve">Caspian roach (Rutilus caspicus)</t>
  </si>
  <si>
    <t xml:space="preserve">Atlantic moonfish (Selene setapinnis)</t>
  </si>
  <si>
    <t xml:space="preserve">333-333</t>
  </si>
  <si>
    <t xml:space="preserve">Greater forkbeard</t>
  </si>
  <si>
    <t xml:space="preserve">Scats</t>
  </si>
  <si>
    <t xml:space="preserve">Brill (Scophthalmus rhombus)</t>
  </si>
  <si>
    <t xml:space="preserve">3,475-3,475</t>
  </si>
  <si>
    <t xml:space="preserve">John's snapper</t>
  </si>
  <si>
    <t xml:space="preserve">Dorado (Salminus brasiliensis)</t>
  </si>
  <si>
    <t xml:space="preserve">Unicorn cod</t>
  </si>
  <si>
    <t xml:space="preserve">Spotted sicklefish</t>
  </si>
  <si>
    <t xml:space="preserve">Forkbeard</t>
  </si>
  <si>
    <t xml:space="preserve">Tilapia shiranus (Oreochromis shiranus)</t>
  </si>
  <si>
    <t xml:space="preserve">Black oreo</t>
  </si>
  <si>
    <t xml:space="preserve">Guitarfishes, etc. nei</t>
  </si>
  <si>
    <t xml:space="preserve">Butter catfish</t>
  </si>
  <si>
    <t xml:space="preserve">Cape bonnetmouth (Emmelichthys nitidus nitidus)</t>
  </si>
  <si>
    <t xml:space="preserve">66-324</t>
  </si>
  <si>
    <t xml:space="preserve">Plownose chimaera</t>
  </si>
  <si>
    <t xml:space="preserve">1,155-1,575</t>
  </si>
  <si>
    <t xml:space="preserve">Law croaker (Pseudotolithus senegallus)</t>
  </si>
  <si>
    <t xml:space="preserve">6,080-6,080</t>
  </si>
  <si>
    <t xml:space="preserve">Brazilian groupers nei (Mycteroperca spp)</t>
  </si>
  <si>
    <t xml:space="preserve">660-26,000</t>
  </si>
  <si>
    <t xml:space="preserve">Blackfin goosefish</t>
  </si>
  <si>
    <t xml:space="preserve">Asp (Aspius aspius)</t>
  </si>
  <si>
    <t xml:space="preserve">2,720-2,720</t>
  </si>
  <si>
    <t xml:space="preserve">Guinean striped mojarra</t>
  </si>
  <si>
    <t xml:space="preserve">Gummy shark (Mustelus antarcticus)</t>
  </si>
  <si>
    <t xml:space="preserve">Pirapatinga</t>
  </si>
  <si>
    <t xml:space="preserve">Japanese sardinella (Sardinella zunasi)</t>
  </si>
  <si>
    <t xml:space="preserve">Spotted sorubim (Pseudoplatystoma corruscans)</t>
  </si>
  <si>
    <t xml:space="preserve">West African ladyfish</t>
  </si>
  <si>
    <t xml:space="preserve">Tinfoil barb</t>
  </si>
  <si>
    <t xml:space="preserve">Grenadiers nei</t>
  </si>
  <si>
    <t xml:space="preserve">Silver rasbora</t>
  </si>
  <si>
    <t xml:space="preserve">Bearded brotula (Brotula barbata)</t>
  </si>
  <si>
    <t xml:space="preserve">Lingcod (Ophiodon elongatus)</t>
  </si>
  <si>
    <t xml:space="preserve">9,072-13,608</t>
  </si>
  <si>
    <t xml:space="preserve">500-5,000</t>
  </si>
  <si>
    <t xml:space="preserve">Toli shad</t>
  </si>
  <si>
    <t xml:space="preserve">Blue catfish (Ictalurus furcatus)</t>
  </si>
  <si>
    <t xml:space="preserve">Tarakihi</t>
  </si>
  <si>
    <t xml:space="preserve">New Zealand blue cod</t>
  </si>
  <si>
    <t xml:space="preserve">Ocean whitefish</t>
  </si>
  <si>
    <t xml:space="preserve">West coast sole</t>
  </si>
  <si>
    <t xml:space="preserve">Sampa (Heterobranchus longifilis)</t>
  </si>
  <si>
    <t xml:space="preserve">Castaneta</t>
  </si>
  <si>
    <t xml:space="preserve">Puntioplites waandersi</t>
  </si>
  <si>
    <t xml:space="preserve">Argentinian sandperch (Pseudopercis semifasciata)</t>
  </si>
  <si>
    <t xml:space="preserve">2,200-3,000</t>
  </si>
  <si>
    <t xml:space="preserve">Duskytail grouper (Epinephelus bleekeri)</t>
  </si>
  <si>
    <t xml:space="preserve">Grey gurnard (Eutrigla gurnardus)</t>
  </si>
  <si>
    <t xml:space="preserve">538-574</t>
  </si>
  <si>
    <t xml:space="preserve">Silver sillago</t>
  </si>
  <si>
    <t xml:space="preserve">Boe drum (Pteroscion peli)</t>
  </si>
  <si>
    <t xml:space="preserve">98-114</t>
  </si>
  <si>
    <t xml:space="preserve">Canary drum(=Baardman) (Umbrina canariensis)</t>
  </si>
  <si>
    <t xml:space="preserve">2,400-2,400</t>
  </si>
  <si>
    <t xml:space="preserve">Blackfin tuna (Thunnus atlanticus)</t>
  </si>
  <si>
    <t xml:space="preserve">3,182-7,000</t>
  </si>
  <si>
    <t xml:space="preserve">95-95</t>
  </si>
  <si>
    <t xml:space="preserve">Red bigeye (Priacanthus macracanthus)</t>
  </si>
  <si>
    <t xml:space="preserve">3,306-3,306</t>
  </si>
  <si>
    <t xml:space="preserve">Blackbanded trevally (Seriolina nigrofasciata)</t>
  </si>
  <si>
    <t xml:space="preserve">Rough scad (Trachurus lathami)</t>
  </si>
  <si>
    <t xml:space="preserve">251-251</t>
  </si>
  <si>
    <t xml:space="preserve">Kingcroakers nei</t>
  </si>
  <si>
    <t xml:space="preserve">Lebranche mullet (Mugil liza)</t>
  </si>
  <si>
    <t xml:space="preserve">550-550</t>
  </si>
  <si>
    <t xml:space="preserve">Irish mojarra (Diapterus auratus)</t>
  </si>
  <si>
    <t xml:space="preserve">Peruvian moonfish</t>
  </si>
  <si>
    <t xml:space="preserve">Axillary seabream (Pagellus acarne)</t>
  </si>
  <si>
    <t xml:space="preserve">13-447</t>
  </si>
  <si>
    <t xml:space="preserve">Golden trevally</t>
  </si>
  <si>
    <t xml:space="preserve">Petrale sole (Eopsetta jordani)</t>
  </si>
  <si>
    <t xml:space="preserve">1,040-3,000</t>
  </si>
  <si>
    <t xml:space="preserve">Blonde ray (Raja brachyura)</t>
  </si>
  <si>
    <t xml:space="preserve">3,146-4,290</t>
  </si>
  <si>
    <t xml:space="preserve">Milk shark (Rhizoprionodon acutus)</t>
  </si>
  <si>
    <t xml:space="preserve">Dark ghost shark</t>
  </si>
  <si>
    <t xml:space="preserve">Kumakuma (Brachyplatystoma filamentosum)</t>
  </si>
  <si>
    <t xml:space="preserve">Red grouper (Epinephelus morio)</t>
  </si>
  <si>
    <t xml:space="preserve">Humphead wrasse</t>
  </si>
  <si>
    <t xml:space="preserve">Southern stingray</t>
  </si>
  <si>
    <t xml:space="preserve">Leerfish</t>
  </si>
  <si>
    <t xml:space="preserve">Bluenose warehou (Hyperoglyphe antarctica)</t>
  </si>
  <si>
    <t xml:space="preserve">Sichel</t>
  </si>
  <si>
    <t xml:space="preserve">Common snook</t>
  </si>
  <si>
    <t xml:space="preserve">Southwest Atlantic butterfish</t>
  </si>
  <si>
    <t xml:space="preserve">Panga seabream</t>
  </si>
  <si>
    <t xml:space="preserve">New Zealand rough skate (Zearaja nasuta)</t>
  </si>
  <si>
    <t xml:space="preserve">Peruvian rock seabass</t>
  </si>
  <si>
    <t xml:space="preserve">Thynnichthys vaillanti</t>
  </si>
  <si>
    <t xml:space="preserve">Peruvian banded croaker</t>
  </si>
  <si>
    <t xml:space="preserve">Deep-water Cape hake (Merluccius paradoxus)</t>
  </si>
  <si>
    <t xml:space="preserve">465-1,604</t>
  </si>
  <si>
    <t xml:space="preserve">Oscar (Astronotus ocellatus)</t>
  </si>
  <si>
    <t xml:space="preserve">Dogtooth tuna (Gymnosarda unicolor)</t>
  </si>
  <si>
    <t xml:space="preserve">Rhinofishes nei</t>
  </si>
  <si>
    <t xml:space="preserve">Glassfishes</t>
  </si>
  <si>
    <t xml:space="preserve">Arawana (Osteoglossum bicirrhosum )</t>
  </si>
  <si>
    <t xml:space="preserve">Indo-Pacific tarpon (Megalops cyprinoides)</t>
  </si>
  <si>
    <t xml:space="preserve">1,062-1,065</t>
  </si>
  <si>
    <t xml:space="preserve">Greater weever (Trachinus draco)</t>
  </si>
  <si>
    <t xml:space="preserve">78-110</t>
  </si>
  <si>
    <t xml:space="preserve">White warehou</t>
  </si>
  <si>
    <t xml:space="preserve">Ballyhoo halfbeak (Hemiramphus brasiliensis)</t>
  </si>
  <si>
    <t xml:space="preserve">134-134</t>
  </si>
  <si>
    <t xml:space="preserve">Spot croaker</t>
  </si>
  <si>
    <t xml:space="preserve">Saddled seabream</t>
  </si>
  <si>
    <t xml:space="preserve">Arapaima (Arapaima gigas)</t>
  </si>
  <si>
    <t xml:space="preserve">73,100-73,100</t>
  </si>
  <si>
    <t xml:space="preserve">Annular seabream</t>
  </si>
  <si>
    <t xml:space="preserve">Glass schilbid</t>
  </si>
  <si>
    <t xml:space="preserve">Yellowtail amberjack (Seriola lalandi)</t>
  </si>
  <si>
    <t xml:space="preserve">4,397-15,000</t>
  </si>
  <si>
    <t xml:space="preserve">Common dentex (Dentex dentex)</t>
  </si>
  <si>
    <t xml:space="preserve">1,260-2,350</t>
  </si>
  <si>
    <t xml:space="preserve">Haffara seabream</t>
  </si>
  <si>
    <t xml:space="preserve">Hapuku wreckfish (Polyprion oxygeneios)</t>
  </si>
  <si>
    <t xml:space="preserve">Buffalofishes nei (Ictiobus spp)</t>
  </si>
  <si>
    <t xml:space="preserve">908-6,810</t>
  </si>
  <si>
    <t xml:space="preserve">Poor cod</t>
  </si>
  <si>
    <t xml:space="preserve">Ghost shark</t>
  </si>
  <si>
    <t xml:space="preserve">Spotted ray</t>
  </si>
  <si>
    <t xml:space="preserve">Mackerel icefish</t>
  </si>
  <si>
    <t xml:space="preserve">Garfish (Belone belone)</t>
  </si>
  <si>
    <t xml:space="preserve">20-500</t>
  </si>
  <si>
    <t xml:space="preserve">Three-spined stickleback</t>
  </si>
  <si>
    <t xml:space="preserve">Rainbow smelt (Osmerus mordax mordax)</t>
  </si>
  <si>
    <t xml:space="preserve">85-85</t>
  </si>
  <si>
    <t xml:space="preserve">Blackspot(=red) seabream (Pagellus bogaraveo)</t>
  </si>
  <si>
    <t xml:space="preserve">658-772</t>
  </si>
  <si>
    <t xml:space="preserve">Yellow-edged lyretail</t>
  </si>
  <si>
    <t xml:space="preserve">Japanese smelt (Hypomesus nipponensis)</t>
  </si>
  <si>
    <t xml:space="preserve">Big-scale sand smelt (Atherina boyeri)</t>
  </si>
  <si>
    <t xml:space="preserve">3-9</t>
  </si>
  <si>
    <t xml:space="preserve">Angolan dentex (Dentex angolensis)</t>
  </si>
  <si>
    <t xml:space="preserve">101-386</t>
  </si>
  <si>
    <t xml:space="preserve">Scaled sardines (Harengula spp)</t>
  </si>
  <si>
    <t xml:space="preserve">19-32</t>
  </si>
  <si>
    <t xml:space="preserve">Abu mullet (Liza abu)</t>
  </si>
  <si>
    <t xml:space="preserve">Spotted estuary smooth-hound</t>
  </si>
  <si>
    <t xml:space="preserve">Dusky grouper (Epinephelus marginatus)</t>
  </si>
  <si>
    <t xml:space="preserve">44,079-44,079</t>
  </si>
  <si>
    <t xml:space="preserve">American gizzard shad (Dorosoma cepedianum)</t>
  </si>
  <si>
    <t xml:space="preserve">18-520</t>
  </si>
  <si>
    <t xml:space="preserve">Cape dory (Zeus capensis)</t>
  </si>
  <si>
    <t xml:space="preserve">Ladyfish (Elops saurus)</t>
  </si>
  <si>
    <t xml:space="preserve">Weevers nei</t>
  </si>
  <si>
    <t xml:space="preserve">Roughhead grenadier</t>
  </si>
  <si>
    <t xml:space="preserve">Golden threadfin bream (Nemipterus virgatus)</t>
  </si>
  <si>
    <t xml:space="preserve">208-231</t>
  </si>
  <si>
    <t xml:space="preserve">Silvery pout</t>
  </si>
  <si>
    <t xml:space="preserve">Blackchin tilapia (Sarotherodon melanotheron)</t>
  </si>
  <si>
    <t xml:space="preserve">Lanternfishes nei</t>
  </si>
  <si>
    <t xml:space="preserve">Common mora</t>
  </si>
  <si>
    <t xml:space="preserve">Manduba (Ageneiosus inermis)</t>
  </si>
  <si>
    <t xml:space="preserve">Needlefishes, etc. nei</t>
  </si>
  <si>
    <t xml:space="preserve">Masu(=Cherry) salmon (Oncorhynchus masou masou)</t>
  </si>
  <si>
    <t xml:space="preserve">Wedge sole</t>
  </si>
  <si>
    <t xml:space="preserve">Great Northern tilefish (Lopholatilus chamaeleonticeps)</t>
  </si>
  <si>
    <t xml:space="preserve">Starry ray</t>
  </si>
  <si>
    <t xml:space="preserve">Black seabass (Centropristis striata)</t>
  </si>
  <si>
    <t xml:space="preserve">227-2,750</t>
  </si>
  <si>
    <t xml:space="preserve">Spotted rose snapper</t>
  </si>
  <si>
    <t xml:space="preserve">Leporellus vittatus (Leporellus vittatus)</t>
  </si>
  <si>
    <t xml:space="preserve">Yellowtail scad</t>
  </si>
  <si>
    <t xml:space="preserve">Mackerel sharks,porbeagles nei</t>
  </si>
  <si>
    <t xml:space="preserve">White perch</t>
  </si>
  <si>
    <t xml:space="preserve">Spotted seabass</t>
  </si>
  <si>
    <t xml:space="preserve">Korean sandlance</t>
  </si>
  <si>
    <t xml:space="preserve">Giant catfish (Netuma thalassina)</t>
  </si>
  <si>
    <t xml:space="preserve">220-300</t>
  </si>
  <si>
    <t xml:space="preserve">Pacific jack mackerel (Trachurus symmetricus)</t>
  </si>
  <si>
    <t xml:space="preserve">190-1,866</t>
  </si>
  <si>
    <t xml:space="preserve">Wreckfish (Polyprion americanus)</t>
  </si>
  <si>
    <t xml:space="preserve">22,600-22,600</t>
  </si>
  <si>
    <t xml:space="preserve">Brazilian menhaden (Brevoortia aurea)</t>
  </si>
  <si>
    <t xml:space="preserve">67-91</t>
  </si>
  <si>
    <t xml:space="preserve">Chilean silverside</t>
  </si>
  <si>
    <t xml:space="preserve">Yellowtail rockfish</t>
  </si>
  <si>
    <t xml:space="preserve">Parona leatherjacket</t>
  </si>
  <si>
    <t xml:space="preserve">Forkbeards nei</t>
  </si>
  <si>
    <t xml:space="preserve">Banded astyanax (Astyanax fasciatus)</t>
  </si>
  <si>
    <t xml:space="preserve">Hogfish</t>
  </si>
  <si>
    <t xml:space="preserve">Pacific angelshark</t>
  </si>
  <si>
    <t xml:space="preserve">Lusitanian cownose ray (Rhinoptera marginata)</t>
  </si>
  <si>
    <t xml:space="preserve">Barred sorubim (Pseudoplatystoma fasciatum)</t>
  </si>
  <si>
    <t xml:space="preserve">Kitefin shark</t>
  </si>
  <si>
    <t xml:space="preserve">White grunt</t>
  </si>
  <si>
    <t xml:space="preserve">Pickhandle barracuda</t>
  </si>
  <si>
    <t xml:space="preserve">Streaked prochilod (Prochilodus lineatus)</t>
  </si>
  <si>
    <t xml:space="preserve">Snake mackerels, escolars nei</t>
  </si>
  <si>
    <t xml:space="preserve">Black cardinal fish (Epigonus telescopus)</t>
  </si>
  <si>
    <t xml:space="preserve">900-4,138</t>
  </si>
  <si>
    <t xml:space="preserve">Opah (Lampris guttatus)</t>
  </si>
  <si>
    <t xml:space="preserve">50,000-50,000</t>
  </si>
  <si>
    <t xml:space="preserve">Shortspine thornyhead</t>
  </si>
  <si>
    <t xml:space="preserve">Snubnose emperor</t>
  </si>
  <si>
    <t xml:space="preserve">Asian swamp eel (Monopterus albus )</t>
  </si>
  <si>
    <t xml:space="preserve">Alexandria pompano (Alectis alexandrinus)</t>
  </si>
  <si>
    <t xml:space="preserve">2,851-2,851</t>
  </si>
  <si>
    <t xml:space="preserve">Ratfishes nei</t>
  </si>
  <si>
    <t xml:space="preserve">Smooth weakfish (Cynoscion leiarchus)</t>
  </si>
  <si>
    <t xml:space="preserve">Baird's slickhead (Alepocephalus bairdii)</t>
  </si>
  <si>
    <t xml:space="preserve">33-2,431</t>
  </si>
  <si>
    <t xml:space="preserve">Silver gemfish</t>
  </si>
  <si>
    <t xml:space="preserve">Tarpon (Megalops atlanticus)</t>
  </si>
  <si>
    <t xml:space="preserve">40,000-40,000</t>
  </si>
  <si>
    <t xml:space="preserve">Malabar blood snapper (Lutjanus malabaricus)</t>
  </si>
  <si>
    <t xml:space="preserve">1,633-1,633</t>
  </si>
  <si>
    <t xml:space="preserve">Red hake (Urophycis chuss)</t>
  </si>
  <si>
    <t xml:space="preserve">Argentine menhaden (Brevoortia pectinata)</t>
  </si>
  <si>
    <t xml:space="preserve">Smooth-hound (Mustelus mustelus)</t>
  </si>
  <si>
    <t xml:space="preserve">4,508-19,539</t>
  </si>
  <si>
    <t xml:space="preserve">Lake trout(=Char)</t>
  </si>
  <si>
    <t xml:space="preserve">Largemouth black bass</t>
  </si>
  <si>
    <t xml:space="preserve">Morays nei</t>
  </si>
  <si>
    <t xml:space="preserve">American harvestfish</t>
  </si>
  <si>
    <t xml:space="preserve">Hampala barb</t>
  </si>
  <si>
    <t xml:space="preserve">Prochilodus mariae (Prochilodus mariae)</t>
  </si>
  <si>
    <t xml:space="preserve">Amazon sailfin catfish (Pterygoplichthys pardalis)</t>
  </si>
  <si>
    <t xml:space="preserve">Dogfishes and hounds nei</t>
  </si>
  <si>
    <t xml:space="preserve">American eel (Anguilla rostrata)</t>
  </si>
  <si>
    <t xml:space="preserve">1,364-1,364</t>
  </si>
  <si>
    <t xml:space="preserve">Plain bonito</t>
  </si>
  <si>
    <t xml:space="preserve">Bonefish (Albula vulpes)</t>
  </si>
  <si>
    <t xml:space="preserve">3,333-3,333</t>
  </si>
  <si>
    <t xml:space="preserve">Mirror dory</t>
  </si>
  <si>
    <t xml:space="preserve">Pontic shad</t>
  </si>
  <si>
    <t xml:space="preserve">Lake cisco (Coregonus artedi)</t>
  </si>
  <si>
    <t xml:space="preserve">832-832</t>
  </si>
  <si>
    <t xml:space="preserve">Ruffs, barrelfishes nei</t>
  </si>
  <si>
    <t xml:space="preserve">Semah mahseer</t>
  </si>
  <si>
    <t xml:space="preserve">Green weakfish (Cynoscion virescens)</t>
  </si>
  <si>
    <t xml:space="preserve">Cusk-eels, brotulas nei</t>
  </si>
  <si>
    <t xml:space="preserve">Escolar</t>
  </si>
  <si>
    <t xml:space="preserve">Black-streaked monocle bream</t>
  </si>
  <si>
    <t xml:space="preserve">Hector's lanternfish</t>
  </si>
  <si>
    <t xml:space="preserve">Striped piggy</t>
  </si>
  <si>
    <t xml:space="preserve">Redfish (Centroberyx affinis)</t>
  </si>
  <si>
    <t xml:space="preserve">160-600</t>
  </si>
  <si>
    <t xml:space="preserve">Nursehound</t>
  </si>
  <si>
    <t xml:space="preserve">Sheepshead (Archosargus probatocephalus)</t>
  </si>
  <si>
    <t xml:space="preserve">2,268-2,268</t>
  </si>
  <si>
    <t xml:space="preserve">Beardless barb</t>
  </si>
  <si>
    <t xml:space="preserve">Broad-barred king mackerel (Scomberomorus semifasciatus)</t>
  </si>
  <si>
    <t xml:space="preserve">Catsharks, nursehounds nei</t>
  </si>
  <si>
    <t xml:space="preserve">Cape elephantfish (Callorhinchus capensis)</t>
  </si>
  <si>
    <t xml:space="preserve">Atlantic emperor (Lethrinus atlanticus)</t>
  </si>
  <si>
    <t xml:space="preserve">509-511</t>
  </si>
  <si>
    <t xml:space="preserve">Signal barb</t>
  </si>
  <si>
    <t xml:space="preserve">Common silver-biddy</t>
  </si>
  <si>
    <t xml:space="preserve">Blackmouth catshark (Galeus melastomus)</t>
  </si>
  <si>
    <t xml:space="preserve">65-280</t>
  </si>
  <si>
    <t xml:space="preserve">Turbots nei</t>
  </si>
  <si>
    <t xml:space="preserve">Spotted weakfish (Cynoscion nebulosus)</t>
  </si>
  <si>
    <t xml:space="preserve">Dusky smooth-hound (Mustelus canis)</t>
  </si>
  <si>
    <t xml:space="preserve">6,752-6,752</t>
  </si>
  <si>
    <t xml:space="preserve">Redtail catfish (Phractocephalus hemioliopterus)</t>
  </si>
  <si>
    <t xml:space="preserve">Yellowfin seabream</t>
  </si>
  <si>
    <t xml:space="preserve">Trumpeters nei</t>
  </si>
  <si>
    <t xml:space="preserve">Filefishes, leatherjackets nei</t>
  </si>
  <si>
    <t xml:space="preserve">Catsharks, etc. nei</t>
  </si>
  <si>
    <t xml:space="preserve">Clown loach</t>
  </si>
  <si>
    <t xml:space="preserve">Blotched picarel (Spicara maena)</t>
  </si>
  <si>
    <t xml:space="preserve">19-298</t>
  </si>
  <si>
    <t xml:space="preserve">Yellownose skate (Zearaja chilensis)</t>
  </si>
  <si>
    <t xml:space="preserve">Sky emperor</t>
  </si>
  <si>
    <t xml:space="preserve">Cape gurnard (Chelidonichthys capensis)</t>
  </si>
  <si>
    <t xml:space="preserve">436-436</t>
  </si>
  <si>
    <t xml:space="preserve">Norway redfish</t>
  </si>
  <si>
    <t xml:space="preserve">Japanese icefish (Salangichthys microdon)</t>
  </si>
  <si>
    <t xml:space="preserve">Pemarco blackfish</t>
  </si>
  <si>
    <t xml:space="preserve">Stumpnoses nei (Rhabdosargus spp)</t>
  </si>
  <si>
    <t xml:space="preserve">Red cusk-eel</t>
  </si>
  <si>
    <t xml:space="preserve">Grey triggerfish</t>
  </si>
  <si>
    <t xml:space="preserve">Freshwater drum (Aplodinotus grunniens)</t>
  </si>
  <si>
    <t xml:space="preserve">New Zealand smooth skate (Dipturus innominatus)</t>
  </si>
  <si>
    <t xml:space="preserve">Golden grey mullet (Liza aurata)</t>
  </si>
  <si>
    <t xml:space="preserve">924-924</t>
  </si>
  <si>
    <t xml:space="preserve">Barbodes balleroides</t>
  </si>
  <si>
    <t xml:space="preserve">Flagfin mojarra (Eucinostomus melanopterus)</t>
  </si>
  <si>
    <t xml:space="preserve">Shortbill spearfish</t>
  </si>
  <si>
    <t xml:space="preserve">Thicklip grey mullet (Chelon labrosus)</t>
  </si>
  <si>
    <t xml:space="preserve">Rubyfish</t>
  </si>
  <si>
    <t xml:space="preserve">Trouts nei</t>
  </si>
  <si>
    <t xml:space="preserve">Common two-banded seabream</t>
  </si>
  <si>
    <t xml:space="preserve">Gulf butterfishes nei</t>
  </si>
  <si>
    <t xml:space="preserve">Japanese halfbeak</t>
  </si>
  <si>
    <t xml:space="preserve">South American pilchard (Sardinops sagax)</t>
  </si>
  <si>
    <t xml:space="preserve">Peruvian morwong</t>
  </si>
  <si>
    <t xml:space="preserve">Atlantic white marlin (Tetrapturus albidus)</t>
  </si>
  <si>
    <t xml:space="preserve">27,215-27,215</t>
  </si>
  <si>
    <t xml:space="preserve">White-blotched grouper</t>
  </si>
  <si>
    <t xml:space="preserve">Yellowbar angelfish</t>
  </si>
  <si>
    <t xml:space="preserve">Gizzard shad nei (Dorosoma spp)</t>
  </si>
  <si>
    <t xml:space="preserve">Cusk-eels nei</t>
  </si>
  <si>
    <t xml:space="preserve">Loricaria cataphracta (Loricaria cataphracta)</t>
  </si>
  <si>
    <t xml:space="preserve">Parrotfish</t>
  </si>
  <si>
    <t xml:space="preserve">Velvet leatherjacket</t>
  </si>
  <si>
    <t xml:space="preserve">Alestes baremoze (Alestes baremoze)</t>
  </si>
  <si>
    <t xml:space="preserve">S.Am. freshwater stingrays nei (Potamotrygon spp)</t>
  </si>
  <si>
    <t xml:space="preserve">Lophiosilurus alexandri (Lophiosilurus alexandri)</t>
  </si>
  <si>
    <t xml:space="preserve">Slender silver-biddy</t>
  </si>
  <si>
    <t xml:space="preserve">Areolate grouper</t>
  </si>
  <si>
    <t xml:space="preserve">Elongate tigerfish (Hydrocynus forskahlii)</t>
  </si>
  <si>
    <t xml:space="preserve">Scomber mackerels nei</t>
  </si>
  <si>
    <t xml:space="preserve">Gulf kingcroaker (Menticirrhus littoralis)</t>
  </si>
  <si>
    <t xml:space="preserve">454-454</t>
  </si>
  <si>
    <t xml:space="preserve">Trahira (Hoplias malabaricus)</t>
  </si>
  <si>
    <t xml:space="preserve">Caspian shads</t>
  </si>
  <si>
    <t xml:space="preserve">Australian pilchard (Sardinops sagax)</t>
  </si>
  <si>
    <t xml:space="preserve">Seven khramulya (Capoeta capoeta)</t>
  </si>
  <si>
    <t xml:space="preserve">Oceanic whitetip shark (Carcharhinus longimanus)</t>
  </si>
  <si>
    <t xml:space="preserve">35,000-70,000</t>
  </si>
  <si>
    <t xml:space="preserve">Spottail shark (Carcharhinus sorrah)</t>
  </si>
  <si>
    <t xml:space="preserve">Atractosteus spp</t>
  </si>
  <si>
    <t xml:space="preserve">Carpenter seabream</t>
  </si>
  <si>
    <t xml:space="preserve">King dory</t>
  </si>
  <si>
    <t xml:space="preserve">Ruffe</t>
  </si>
  <si>
    <t xml:space="preserve">Velvety cichlids</t>
  </si>
  <si>
    <t xml:space="preserve">Atlantic silverside (Menidia menidia)</t>
  </si>
  <si>
    <t xml:space="preserve">5-5</t>
  </si>
  <si>
    <t xml:space="preserve">Parore</t>
  </si>
  <si>
    <t xml:space="preserve">Ocean sunfish (Mola mola)</t>
  </si>
  <si>
    <t xml:space="preserve">1,000,000-1,000,000</t>
  </si>
  <si>
    <t xml:space="preserve">Barred grunt (Conodon nobilis)</t>
  </si>
  <si>
    <t xml:space="preserve">141-141</t>
  </si>
  <si>
    <t xml:space="preserve">Bigmouth sleeper</t>
  </si>
  <si>
    <t xml:space="preserve">Blackmouth croaker (Atrobucca nibe)</t>
  </si>
  <si>
    <t xml:space="preserve">93-93</t>
  </si>
  <si>
    <t xml:space="preserve">Sand sole</t>
  </si>
  <si>
    <t xml:space="preserve">African obscure snakehead (Parachanna obscura)</t>
  </si>
  <si>
    <t xml:space="preserve">Citharids nei</t>
  </si>
  <si>
    <t xml:space="preserve">Thinlip grey mullet (Liza ramada)</t>
  </si>
  <si>
    <t xml:space="preserve">Navaga(=Wachna cod)</t>
  </si>
  <si>
    <t xml:space="preserve">Squaretail coralgrouper</t>
  </si>
  <si>
    <t xml:space="preserve">Squirrelfishes nei</t>
  </si>
  <si>
    <t xml:space="preserve">Grey snapper</t>
  </si>
  <si>
    <t xml:space="preserve">Marbled lungfish (Protopterus aethiopicus aethiopicus)</t>
  </si>
  <si>
    <t xml:space="preserve">3,740-5,100</t>
  </si>
  <si>
    <t xml:space="preserve">Blackhead seabream (Acanthopagrus schlegelii schlegelii)</t>
  </si>
  <si>
    <t xml:space="preserve">704-960</t>
  </si>
  <si>
    <t xml:space="preserve">Two-spot red snapper (Lutjanus bohar)</t>
  </si>
  <si>
    <t xml:space="preserve">2,759-2,795</t>
  </si>
  <si>
    <t xml:space="preserve">Sculpins nei</t>
  </si>
  <si>
    <t xml:space="preserve">Widow rockfish (Sebastes entomelas)</t>
  </si>
  <si>
    <t xml:space="preserve">300-1,814</t>
  </si>
  <si>
    <t xml:space="preserve">Warty dory (Allocyttus verrucosus)</t>
  </si>
  <si>
    <t xml:space="preserve">Indian pompano</t>
  </si>
  <si>
    <t xml:space="preserve">Pomfrets, ocean breams nei</t>
  </si>
  <si>
    <t xml:space="preserve">Smallscaled grouper (Epinephelus polylepis)</t>
  </si>
  <si>
    <t xml:space="preserve">Bluespine unicornfish</t>
  </si>
  <si>
    <t xml:space="preserve">Malayan leaffish</t>
  </si>
  <si>
    <t xml:space="preserve">Malabar trevally</t>
  </si>
  <si>
    <t xml:space="preserve">Bleak (Alburnus alburnus)</t>
  </si>
  <si>
    <t xml:space="preserve">Broadgilled hagfish (Eptatretus cirrhatus)</t>
  </si>
  <si>
    <t xml:space="preserve">Five-lined snapper</t>
  </si>
  <si>
    <t xml:space="preserve">Knifefishes</t>
  </si>
  <si>
    <t xml:space="preserve">Cardinalfishes, etc. nei</t>
  </si>
  <si>
    <t xml:space="preserve">Roving coralgrouper</t>
  </si>
  <si>
    <t xml:space="preserve">American shad (Alosa sapidissima)</t>
  </si>
  <si>
    <t xml:space="preserve">907-2,272</t>
  </si>
  <si>
    <t xml:space="preserve">Mud sole</t>
  </si>
  <si>
    <t xml:space="preserve">English sole</t>
  </si>
  <si>
    <t xml:space="preserve">Geelbek croaker (Atractoscion aequidens)</t>
  </si>
  <si>
    <t xml:space="preserve">11,000-11,000</t>
  </si>
  <si>
    <t xml:space="preserve">Congo dentex</t>
  </si>
  <si>
    <t xml:space="preserve">Porbeagle (Lamna nasus)</t>
  </si>
  <si>
    <t xml:space="preserve">135,000-135,000</t>
  </si>
  <si>
    <t xml:space="preserve">Night shark (Carcharhinus signatus)</t>
  </si>
  <si>
    <t xml:space="preserve">Long pectoral-fin minnow</t>
  </si>
  <si>
    <t xml:space="preserve">Cardinal fishes nei</t>
  </si>
  <si>
    <t xml:space="preserve">European barracuda</t>
  </si>
  <si>
    <t xml:space="preserve">Vadigo</t>
  </si>
  <si>
    <t xml:space="preserve">Orange-striped emperor</t>
  </si>
  <si>
    <t xml:space="preserve">Porgies</t>
  </si>
  <si>
    <t xml:space="preserve">Coral hind</t>
  </si>
  <si>
    <t xml:space="preserve">Rabbit fish</t>
  </si>
  <si>
    <t xml:space="preserve">Sawsharks nei</t>
  </si>
  <si>
    <t xml:space="preserve">Bocon toadfish (Amphichthys cryptocentrus)</t>
  </si>
  <si>
    <t xml:space="preserve">Dealfish</t>
  </si>
  <si>
    <t xml:space="preserve">Cubera snapper</t>
  </si>
  <si>
    <t xml:space="preserve">Patagonian blennie</t>
  </si>
  <si>
    <t xml:space="preserve">Comber (Serranus cabrilla)</t>
  </si>
  <si>
    <t xml:space="preserve">Mexican barred snapper</t>
  </si>
  <si>
    <t xml:space="preserve">Ruff</t>
  </si>
  <si>
    <t xml:space="preserve">Grey rockcod</t>
  </si>
  <si>
    <t xml:space="preserve">Spadefishes nei</t>
  </si>
  <si>
    <t xml:space="preserve">Bloch's gizzard shad</t>
  </si>
  <si>
    <t xml:space="preserve">Honnibe croaker</t>
  </si>
  <si>
    <t xml:space="preserve">Lowfin gulper shark</t>
  </si>
  <si>
    <t xml:space="preserve">Humpback red snapper</t>
  </si>
  <si>
    <t xml:space="preserve">Sturgeons nei</t>
  </si>
  <si>
    <t xml:space="preserve">White bass</t>
  </si>
  <si>
    <t xml:space="preserve">Smallscale archerfish</t>
  </si>
  <si>
    <t xml:space="preserve">Yellow snapper</t>
  </si>
  <si>
    <t xml:space="preserve">Atlantic sharpnose shark</t>
  </si>
  <si>
    <t xml:space="preserve">Leafscale gulper shark</t>
  </si>
  <si>
    <t xml:space="preserve">86-86</t>
  </si>
  <si>
    <t xml:space="preserve">Thickback soles nei</t>
  </si>
  <si>
    <t xml:space="preserve">Blackspotted rubberlip</t>
  </si>
  <si>
    <t xml:space="preserve">Shrimp scad</t>
  </si>
  <si>
    <t xml:space="preserve">Aimara (Hoplerythrinus unitaeniatus)</t>
  </si>
  <si>
    <t xml:space="preserve">Picarel (Spicara smaris)</t>
  </si>
  <si>
    <t xml:space="preserve">Gars nei</t>
  </si>
  <si>
    <t xml:space="preserve">Hound needlefish</t>
  </si>
  <si>
    <t xml:space="preserve">Red scorpionfish</t>
  </si>
  <si>
    <t xml:space="preserve">Yellowfin hind</t>
  </si>
  <si>
    <t xml:space="preserve">Lefteye flounders nei</t>
  </si>
  <si>
    <t xml:space="preserve">Needlescaled queenfish</t>
  </si>
  <si>
    <t xml:space="preserve">River lamprey (Lampetra fluviatilis)</t>
  </si>
  <si>
    <t xml:space="preserve">48-81</t>
  </si>
  <si>
    <t xml:space="preserve">Silvery John dory</t>
  </si>
  <si>
    <t xml:space="preserve">Shagreen ray</t>
  </si>
  <si>
    <t xml:space="preserve">Gag (Mycteroperca microlepis)</t>
  </si>
  <si>
    <t xml:space="preserve">909-9,091</t>
  </si>
  <si>
    <t xml:space="preserve">Smooth hammerhead</t>
  </si>
  <si>
    <t xml:space="preserve">Blacktip shark (Carcharhinus limbatus)</t>
  </si>
  <si>
    <t xml:space="preserve">18,000-18,000</t>
  </si>
  <si>
    <t xml:space="preserve">Daggerhead breams nei</t>
  </si>
  <si>
    <t xml:space="preserve">Nurse shark (Ginglymostoma cirratum)</t>
  </si>
  <si>
    <t xml:space="preserve">90,000-150,000</t>
  </si>
  <si>
    <t xml:space="preserve">Black cusk-eel (Genypterus maculatus)</t>
  </si>
  <si>
    <t xml:space="preserve">523-523</t>
  </si>
  <si>
    <t xml:space="preserve">Angelsharks, sand devils nei (Squatinidae)</t>
  </si>
  <si>
    <t xml:space="preserve">1,684-19,794</t>
  </si>
  <si>
    <t xml:space="preserve">Barbel (Barbus barbus)</t>
  </si>
  <si>
    <t xml:space="preserve">1,800-3,636</t>
  </si>
  <si>
    <t xml:space="preserve">Latchet(=Sharpbeak gurnard)</t>
  </si>
  <si>
    <t xml:space="preserve">Doraops zuloagai (Doraops zuloagai)</t>
  </si>
  <si>
    <t xml:space="preserve">Gulf parrotfish</t>
  </si>
  <si>
    <t xml:space="preserve">Randall's threadfin bream</t>
  </si>
  <si>
    <t xml:space="preserve">Leporinus obtusidens (Leporinus obtusidens)</t>
  </si>
  <si>
    <t xml:space="preserve">Splendid alfonsino (Beryx splendens)</t>
  </si>
  <si>
    <t xml:space="preserve">3,102-3,239</t>
  </si>
  <si>
    <t xml:space="preserve">Vimba bream</t>
  </si>
  <si>
    <t xml:space="preserve">Yellowedge grouper (Epinephelus flavolimbatus)</t>
  </si>
  <si>
    <t xml:space="preserve">2,270-4,540</t>
  </si>
  <si>
    <t xml:space="preserve">Weeverfishes nei</t>
  </si>
  <si>
    <t xml:space="preserve">Thresher (Alopias vulpinus)</t>
  </si>
  <si>
    <t xml:space="preserve">113,500-113,500</t>
  </si>
  <si>
    <t xml:space="preserve">Ballan wrasse (Labrus bergylta)</t>
  </si>
  <si>
    <t xml:space="preserve">1,000-2,000</t>
  </si>
  <si>
    <t xml:space="preserve">Dungat grouper</t>
  </si>
  <si>
    <t xml:space="preserve">Shorthead drum (Larimus breviceps)</t>
  </si>
  <si>
    <t xml:space="preserve">Whitecheek shark (Carcharhinus dussumieri)</t>
  </si>
  <si>
    <t xml:space="preserve">Brown meagre (Sciaena umbra)</t>
  </si>
  <si>
    <t xml:space="preserve">524-1,790</t>
  </si>
  <si>
    <t xml:space="preserve">Southern lemon sole (Pelotretis flavilatus)</t>
  </si>
  <si>
    <t xml:space="preserve">Sandy ray</t>
  </si>
  <si>
    <t xml:space="preserve">Red hind</t>
  </si>
  <si>
    <t xml:space="preserve">Stargazer (Uranoscopus scaber)</t>
  </si>
  <si>
    <t xml:space="preserve">111-460</t>
  </si>
  <si>
    <t xml:space="preserve">Corkwing wrasse (Symphodus melops)</t>
  </si>
  <si>
    <t xml:space="preserve">Slender tuna</t>
  </si>
  <si>
    <t xml:space="preserve">Argentine goatfish (Mullus argentinae)</t>
  </si>
  <si>
    <t xml:space="preserve">110-149</t>
  </si>
  <si>
    <t xml:space="preserve">Sand flounders nei</t>
  </si>
  <si>
    <t xml:space="preserve">Chilipepper rockfish (Sebastes goodei)</t>
  </si>
  <si>
    <t xml:space="preserve">339-462</t>
  </si>
  <si>
    <t xml:space="preserve">Greenland cod</t>
  </si>
  <si>
    <t xml:space="preserve">Raphael catfish (Platydoras costatus)</t>
  </si>
  <si>
    <t xml:space="preserve">Largeeye breams</t>
  </si>
  <si>
    <t xml:space="preserve">Rusty jobfish</t>
  </si>
  <si>
    <t xml:space="preserve">Mexican barracuda (Sphyraena ensis)</t>
  </si>
  <si>
    <t xml:space="preserve">Bigeye thresher (Alopias superciliosus)</t>
  </si>
  <si>
    <t xml:space="preserve">160,000-160,000</t>
  </si>
  <si>
    <t xml:space="preserve">California flounder (Paralichthys californicus)</t>
  </si>
  <si>
    <t xml:space="preserve">7,260-9,900</t>
  </si>
  <si>
    <t xml:space="preserve">Bar jack (Carangoides ruber)</t>
  </si>
  <si>
    <t xml:space="preserve">454-909</t>
  </si>
  <si>
    <t xml:space="preserve">Small-eyed ray</t>
  </si>
  <si>
    <t xml:space="preserve">Duckbill catfish (Sorubim lima)</t>
  </si>
  <si>
    <t xml:space="preserve">Indian driftfish</t>
  </si>
  <si>
    <t xml:space="preserve">Grayling (Thymallus thymallus)</t>
  </si>
  <si>
    <t xml:space="preserve">300-800</t>
  </si>
  <si>
    <t xml:space="preserve">Birdbeak dogfish (Deania calcea)</t>
  </si>
  <si>
    <t xml:space="preserve">1,242-4,253</t>
  </si>
  <si>
    <t xml:space="preserve">Corocoro grunt (Orthopristis ruber)</t>
  </si>
  <si>
    <t xml:space="preserve">Minstrel sweetlips</t>
  </si>
  <si>
    <t xml:space="preserve">Pati (Luciopimelodus pati)</t>
  </si>
  <si>
    <t xml:space="preserve">Banded jewelfish (Hemichromis fasciatus)</t>
  </si>
  <si>
    <t xml:space="preserve">Sawfishes</t>
  </si>
  <si>
    <t xml:space="preserve">Bobo mullet (Joturus pichardi)</t>
  </si>
  <si>
    <t xml:space="preserve">247-247</t>
  </si>
  <si>
    <t xml:space="preserve">Yellowspotted trevally</t>
  </si>
  <si>
    <t xml:space="preserve">Yellow jack (Caranx bartholomaei)</t>
  </si>
  <si>
    <t xml:space="preserve">Argentinian silverside (Odontesthes bonariensis)</t>
  </si>
  <si>
    <t xml:space="preserve">Madamango sea catfish (Cathorops spixii)</t>
  </si>
  <si>
    <t xml:space="preserve">White weakfish</t>
  </si>
  <si>
    <t xml:space="preserve">Fat sleeper</t>
  </si>
  <si>
    <t xml:space="preserve">Smalltooth emperor</t>
  </si>
  <si>
    <t xml:space="preserve">Pacific guitarfish</t>
  </si>
  <si>
    <t xml:space="preserve">Southeast Atlantic soles nei</t>
  </si>
  <si>
    <t xml:space="preserve">Scalloped hammerhead (Sphyrna lewini)</t>
  </si>
  <si>
    <t xml:space="preserve">115,102-115,102</t>
  </si>
  <si>
    <t xml:space="preserve">Blue skate (Dipturus batis)</t>
  </si>
  <si>
    <t xml:space="preserve">5,232-44,213</t>
  </si>
  <si>
    <t xml:space="preserve">Green humphead parrotfish</t>
  </si>
  <si>
    <t xml:space="preserve">Jaguar guapote</t>
  </si>
  <si>
    <t xml:space="preserve">Obtuse barracuda</t>
  </si>
  <si>
    <t xml:space="preserve">Silver-stripe round herring (Spratelloides gracilis)</t>
  </si>
  <si>
    <t xml:space="preserve">Red bandfish</t>
  </si>
  <si>
    <t xml:space="preserve">Pelagic armourhead</t>
  </si>
  <si>
    <t xml:space="preserve">Potamorhina laticeps (Potamorhina laticeps)</t>
  </si>
  <si>
    <t xml:space="preserve">Portuguese dogfish</t>
  </si>
  <si>
    <t xml:space="preserve">Doublespotted queenfish</t>
  </si>
  <si>
    <t xml:space="preserve">Brushtooth lizardfish (Saurida undosquamis)</t>
  </si>
  <si>
    <t xml:space="preserve">21-361</t>
  </si>
  <si>
    <t xml:space="preserve">Blue antimora (Antimora rostrata)</t>
  </si>
  <si>
    <t xml:space="preserve">87-116</t>
  </si>
  <si>
    <t xml:space="preserve">Alestes spp (Alestes spp)</t>
  </si>
  <si>
    <t xml:space="preserve">Yellowstripe goatfish</t>
  </si>
  <si>
    <t xml:space="preserve">Common nase</t>
  </si>
  <si>
    <t xml:space="preserve">Tripletail</t>
  </si>
  <si>
    <t xml:space="preserve">Nassau grouper (Epinephelus striatus)</t>
  </si>
  <si>
    <t xml:space="preserve">4,540-4,540</t>
  </si>
  <si>
    <t xml:space="preserve">Fire eel</t>
  </si>
  <si>
    <t xml:space="preserve">Giant guitarfish (Rhynchobatus djiddensis)</t>
  </si>
  <si>
    <t xml:space="preserve">190,000-190,000</t>
  </si>
  <si>
    <t xml:space="preserve">Tiger sorubim (Pseudoplatystoma tigrinum)</t>
  </si>
  <si>
    <t xml:space="preserve">Sobaity seabream</t>
  </si>
  <si>
    <t xml:space="preserve">Squeteague(=Gray weakfish) (Cynoscion regalis)</t>
  </si>
  <si>
    <t xml:space="preserve">1,134-1,134</t>
  </si>
  <si>
    <t xml:space="preserve">Goldsinny-wrasse</t>
  </si>
  <si>
    <t xml:space="preserve">Hemibates stenosoma (Hemibates stenosoma)</t>
  </si>
  <si>
    <t xml:space="preserve">Chub</t>
  </si>
  <si>
    <t xml:space="preserve">Bigeye trevally</t>
  </si>
  <si>
    <t xml:space="preserve">Rocklings nei</t>
  </si>
  <si>
    <t xml:space="preserve">Argentine conger (Conger orbignianus)</t>
  </si>
  <si>
    <t xml:space="preserve">428-583</t>
  </si>
  <si>
    <t xml:space="preserve">Mango tilapia</t>
  </si>
  <si>
    <t xml:space="preserve">Florida pompano</t>
  </si>
  <si>
    <t xml:space="preserve">Santer seabream</t>
  </si>
  <si>
    <t xml:space="preserve">Transparent goby</t>
  </si>
  <si>
    <t xml:space="preserve">Longnosed skate</t>
  </si>
  <si>
    <t xml:space="preserve">Atlantic anchoveta (Cetengraulis edentulus)</t>
  </si>
  <si>
    <t xml:space="preserve">16-25</t>
  </si>
  <si>
    <t xml:space="preserve">Arctic char (Salvelinus alpinus alpinus)</t>
  </si>
  <si>
    <t xml:space="preserve">454-4,545</t>
  </si>
  <si>
    <t xml:space="preserve">Pilotfish</t>
  </si>
  <si>
    <t xml:space="preserve">Lampreys nei</t>
  </si>
  <si>
    <t xml:space="preserve">Shi drum</t>
  </si>
  <si>
    <t xml:space="preserve">Black rockfish (Sebastes melanops)</t>
  </si>
  <si>
    <t xml:space="preserve">1,056-1,440</t>
  </si>
  <si>
    <t xml:space="preserve">Flathead catfish</t>
  </si>
  <si>
    <t xml:space="preserve">Violet warehou</t>
  </si>
  <si>
    <t xml:space="preserve">Tautog</t>
  </si>
  <si>
    <t xml:space="preserve">River carpsucker (Carpiodes carpio)</t>
  </si>
  <si>
    <t xml:space="preserve">Crucifix sea catfish (Arius proops)</t>
  </si>
  <si>
    <t xml:space="preserve">Kinneret bleak</t>
  </si>
  <si>
    <t xml:space="preserve">Pacific piquitinga</t>
  </si>
  <si>
    <t xml:space="preserve">Lanternsharks nei</t>
  </si>
  <si>
    <t xml:space="preserve">Pearly razorfish</t>
  </si>
  <si>
    <t xml:space="preserve">Mediterranean spearfish (Tetrapturus belone)</t>
  </si>
  <si>
    <t xml:space="preserve">Spotted gurnard</t>
  </si>
  <si>
    <t xml:space="preserve">Bowfin (Amia calva)</t>
  </si>
  <si>
    <t xml:space="preserve">Eelpouts</t>
  </si>
  <si>
    <t xml:space="preserve">Rio skate (Rioraja agassizi)</t>
  </si>
  <si>
    <t xml:space="preserve">Machaca</t>
  </si>
  <si>
    <t xml:space="preserve">Longspine thornyhead (Sebastolobus altivelis)</t>
  </si>
  <si>
    <t xml:space="preserve">Japanese topeshark (Hemitriakis japanica)</t>
  </si>
  <si>
    <t xml:space="preserve">Pacific sanddab</t>
  </si>
  <si>
    <t xml:space="preserve">Chimaeras, etc. nei</t>
  </si>
  <si>
    <t xml:space="preserve">Spotted barb</t>
  </si>
  <si>
    <t xml:space="preserve">Darkblotched rockfish</t>
  </si>
  <si>
    <t xml:space="preserve">Blackbellied angler (Lophius budegassa)</t>
  </si>
  <si>
    <t xml:space="preserve">1,631-2,120</t>
  </si>
  <si>
    <t xml:space="preserve">Scamp</t>
  </si>
  <si>
    <t xml:space="preserve">Longfin yellowtail (Seriola rivoliana)</t>
  </si>
  <si>
    <t xml:space="preserve">Boxfishes nei (Ostraciidae)</t>
  </si>
  <si>
    <t xml:space="preserve">93-637</t>
  </si>
  <si>
    <t xml:space="preserve">Round goby (Neogobius melanostomus)</t>
  </si>
  <si>
    <t xml:space="preserve">Arius spp (Arius spp)</t>
  </si>
  <si>
    <t xml:space="preserve">Smallnose fanskate (Sympterygia bonapartii)</t>
  </si>
  <si>
    <t xml:space="preserve">Mako sharks</t>
  </si>
  <si>
    <t xml:space="preserve">Blackchin guitarfish (Rhinobatos cemiculus)</t>
  </si>
  <si>
    <t xml:space="preserve">Mediterranean scaldfish (Arnoglossus laterna)</t>
  </si>
  <si>
    <t xml:space="preserve">Silver mylossoma (Mylossoma duriventre)</t>
  </si>
  <si>
    <t xml:space="preserve">Black scorpionfish (Scorpaena porcus)</t>
  </si>
  <si>
    <t xml:space="preserve">Asian bonytongue</t>
  </si>
  <si>
    <t xml:space="preserve">Yellowfin river pellona</t>
  </si>
  <si>
    <t xml:space="preserve">Knifetooth dogfish</t>
  </si>
  <si>
    <t xml:space="preserve">Boarfishes nei (Caproidae)</t>
  </si>
  <si>
    <t xml:space="preserve">35-116</t>
  </si>
  <si>
    <t xml:space="preserve">Mutton snapper</t>
  </si>
  <si>
    <t xml:space="preserve">Snake eels nei</t>
  </si>
  <si>
    <t xml:space="preserve">Spiky oreo</t>
  </si>
  <si>
    <t xml:space="preserve">Angelshark (Squatina squatina)</t>
  </si>
  <si>
    <t xml:space="preserve">14,000-18,000</t>
  </si>
  <si>
    <t xml:space="preserve">Cero (Scomberomorus regalis)</t>
  </si>
  <si>
    <t xml:space="preserve">Butter sole (Isopsetta isolepis)</t>
  </si>
  <si>
    <t xml:space="preserve">White sturgeon (Acipenser transmontanus)</t>
  </si>
  <si>
    <t xml:space="preserve">9,072-18,144</t>
  </si>
  <si>
    <t xml:space="preserve">Longnose spurdog</t>
  </si>
  <si>
    <t xml:space="preserve">Sea chubs nei</t>
  </si>
  <si>
    <t xml:space="preserve">Pompano</t>
  </si>
  <si>
    <t xml:space="preserve">Chilean grenadier (Coelorinchus chilensis)</t>
  </si>
  <si>
    <t xml:space="preserve">Sea lamprey</t>
  </si>
  <si>
    <t xml:space="preserve">Torpedo rays</t>
  </si>
  <si>
    <t xml:space="preserve">Blue-barred parrotfish</t>
  </si>
  <si>
    <t xml:space="preserve">Queen snapper</t>
  </si>
  <si>
    <t xml:space="preserve">Coney</t>
  </si>
  <si>
    <t xml:space="preserve">Parassi mullet</t>
  </si>
  <si>
    <t xml:space="preserve">Flat needlefish (Ablennes hians)</t>
  </si>
  <si>
    <t xml:space="preserve">2,036-2,900</t>
  </si>
  <si>
    <t xml:space="preserve">Highwaterman catfish (Hypophthalmus edentatus)</t>
  </si>
  <si>
    <t xml:space="preserve">Leopard flounder</t>
  </si>
  <si>
    <t xml:space="preserve">Bull shark</t>
  </si>
  <si>
    <t xml:space="preserve">Grey tilefish</t>
  </si>
  <si>
    <t xml:space="preserve">Sordid rubberlip</t>
  </si>
  <si>
    <t xml:space="preserve">Goldsilk seabream</t>
  </si>
  <si>
    <t xml:space="preserve">Bigtooth corvina (Isopisthus parvipinnis)</t>
  </si>
  <si>
    <t xml:space="preserve">White stumpnose</t>
  </si>
  <si>
    <t xml:space="preserve">Silk snapper</t>
  </si>
  <si>
    <t xml:space="preserve">Snowy grouper (Epinephelus niveatus)</t>
  </si>
  <si>
    <t xml:space="preserve">3,636-4,545</t>
  </si>
  <si>
    <t xml:space="preserve">Streaked gurnard</t>
  </si>
  <si>
    <t xml:space="preserve">Spiny butterfly ray</t>
  </si>
  <si>
    <t xml:space="preserve">Short-finned eel</t>
  </si>
  <si>
    <t xml:space="preserve">Snubnose pompano</t>
  </si>
  <si>
    <t xml:space="preserve">Rudderfish</t>
  </si>
  <si>
    <t xml:space="preserve">Offshore rockfish</t>
  </si>
  <si>
    <t xml:space="preserve">Largescaled terapon (Terapon theraps)</t>
  </si>
  <si>
    <t xml:space="preserve">Longbill spearfish</t>
  </si>
  <si>
    <t xml:space="preserve">Shorthorn sculpin (Myoxocephalus scorpius)</t>
  </si>
  <si>
    <t xml:space="preserve">Northern kingfish</t>
  </si>
  <si>
    <t xml:space="preserve">Brycinus leuciscus (Brycinus leuciscus)</t>
  </si>
  <si>
    <t xml:space="preserve">Reticulate knifefish (Papyrocranus afer)</t>
  </si>
  <si>
    <t xml:space="preserve">Xenocharax spilurus (Xenocharax spilurus)</t>
  </si>
  <si>
    <t xml:space="preserve">Shortnose greeneye (Chlorophthalmus agassizi)</t>
  </si>
  <si>
    <t xml:space="preserve">Roughsnout grenadier</t>
  </si>
  <si>
    <t xml:space="preserve">Eyespot skate (Raja cyclophora)</t>
  </si>
  <si>
    <t xml:space="preserve">Tiger shark (Galeocerdo cuvier)</t>
  </si>
  <si>
    <t xml:space="preserve">385,000-685,000</t>
  </si>
  <si>
    <t xml:space="preserve">Spotted flounder (Citharus linguatula)</t>
  </si>
  <si>
    <t xml:space="preserve">Sabre squirrelfish</t>
  </si>
  <si>
    <t xml:space="preserve">Senegal jack (Caranx senegallus)</t>
  </si>
  <si>
    <t xml:space="preserve">Unicorn icefish</t>
  </si>
  <si>
    <t xml:space="preserve">Limnotilapia dardennii (Limnotilapia dardennii)</t>
  </si>
  <si>
    <t xml:space="preserve">Green jack (Caranx caballus)</t>
  </si>
  <si>
    <t xml:space="preserve">Copper shark</t>
  </si>
  <si>
    <t xml:space="preserve">African striped grunt (Parapristipoma octolineatum)</t>
  </si>
  <si>
    <t xml:space="preserve">Humpnose big-eye bream</t>
  </si>
  <si>
    <t xml:space="preserve">Windowpane flounder</t>
  </si>
  <si>
    <t xml:space="preserve">Karanteen seabream</t>
  </si>
  <si>
    <t xml:space="preserve">Whiteleg skate (Raja taaf)</t>
  </si>
  <si>
    <t xml:space="preserve">Allis shad (Alosa alosa)</t>
  </si>
  <si>
    <t xml:space="preserve">2,700-2,700</t>
  </si>
  <si>
    <t xml:space="preserve">Gulper shark</t>
  </si>
  <si>
    <t xml:space="preserve">Leaping mullet (Liza saliens)</t>
  </si>
  <si>
    <t xml:space="preserve">128-402</t>
  </si>
  <si>
    <t xml:space="preserve">Auchenoglanis biscutatus (Auchenoglanis biscutatus)</t>
  </si>
  <si>
    <t xml:space="preserve">Toadfishes, etc. nei</t>
  </si>
  <si>
    <t xml:space="preserve">Draughtsboard shark (Cephaloscyllium isabellum)</t>
  </si>
  <si>
    <t xml:space="preserve">Suckerfishes, remoras nei</t>
  </si>
  <si>
    <t xml:space="preserve">Peacock hind</t>
  </si>
  <si>
    <t xml:space="preserve">Senegalese sole (Solea senegalensis)</t>
  </si>
  <si>
    <t xml:space="preserve">Brownspotted grouper</t>
  </si>
  <si>
    <t xml:space="preserve">Bluespotted seabream (Pagrus caeruleostictus)</t>
  </si>
  <si>
    <t xml:space="preserve">2,016-2,016</t>
  </si>
  <si>
    <t xml:space="preserve">Balao halfbeak (Hemiramphus balao)</t>
  </si>
  <si>
    <t xml:space="preserve">Pacific sandperch</t>
  </si>
  <si>
    <t xml:space="preserve">Snakehead</t>
  </si>
  <si>
    <t xml:space="preserve">Sandbar shark (Carcharhinus plumbeus)</t>
  </si>
  <si>
    <t xml:space="preserve">60,000-96,000</t>
  </si>
  <si>
    <t xml:space="preserve">Blacknose shark (Carcharhinus acronotus)</t>
  </si>
  <si>
    <t xml:space="preserve">Spotfin flathead</t>
  </si>
  <si>
    <t xml:space="preserve">Cabezon (Scorpaenichthys marmoratus)</t>
  </si>
  <si>
    <t xml:space="preserve">3,080-4,200</t>
  </si>
  <si>
    <t xml:space="preserve">Cornetfish</t>
  </si>
  <si>
    <t xml:space="preserve">Orange perch</t>
  </si>
  <si>
    <t xml:space="preserve">Danube sturgeon(=Osetr)</t>
  </si>
  <si>
    <t xml:space="preserve">Big skate (Raja binoculata)</t>
  </si>
  <si>
    <t xml:space="preserve">Gafftopsail sea catfish (Bagre marinus)</t>
  </si>
  <si>
    <t xml:space="preserve">Eelpout</t>
  </si>
  <si>
    <t xml:space="preserve">Cyclocheilichthys armatus (Cyclocheilichthys armatus)</t>
  </si>
  <si>
    <t xml:space="preserve">Hickory shad</t>
  </si>
  <si>
    <t xml:space="preserve">White skate (Raja alba)</t>
  </si>
  <si>
    <t xml:space="preserve">Bathybates minor (Bathybates minor)</t>
  </si>
  <si>
    <t xml:space="preserve">Pseudocurimata boulengeri (Pseudocurimata boulengeri)</t>
  </si>
  <si>
    <t xml:space="preserve">Thumbprint emperor</t>
  </si>
  <si>
    <t xml:space="preserve">Tropical gar</t>
  </si>
  <si>
    <t xml:space="preserve">1,818-3,636</t>
  </si>
  <si>
    <t xml:space="preserve">Black grouper (Mycteroperca bonaci)</t>
  </si>
  <si>
    <t xml:space="preserve">26,000-26,000</t>
  </si>
  <si>
    <t xml:space="preserve">Velvet whalefish (Barbourisia rufa)</t>
  </si>
  <si>
    <t xml:space="preserve">Whitson's grenadier</t>
  </si>
  <si>
    <t xml:space="preserve">Green jobfish</t>
  </si>
  <si>
    <t xml:space="preserve">Cownose ray (Rhinoptera bonasus)</t>
  </si>
  <si>
    <t xml:space="preserve">Giant cichlid (Boulengerochromis microlepis)</t>
  </si>
  <si>
    <t xml:space="preserve">Spotted grouper</t>
  </si>
  <si>
    <t xml:space="preserve">Brown-marbled grouper</t>
  </si>
  <si>
    <t xml:space="preserve">Rock cook (Centrolabrus exoletus)</t>
  </si>
  <si>
    <t xml:space="preserve">African scraping feeder (Labeobarbus beso)</t>
  </si>
  <si>
    <t xml:space="preserve">Mediterranean moray (Muraena helena)</t>
  </si>
  <si>
    <t xml:space="preserve">Streaked seerfish</t>
  </si>
  <si>
    <t xml:space="preserve">Golden African snapper (Lutjanus fulgens)</t>
  </si>
  <si>
    <t xml:space="preserve">Pacific sand sole</t>
  </si>
  <si>
    <t xml:space="preserve">Mediterranean starry ray (Raja asterias)</t>
  </si>
  <si>
    <t xml:space="preserve">Sohal surgeonfish</t>
  </si>
  <si>
    <t xml:space="preserve">Summan grouper</t>
  </si>
  <si>
    <t xml:space="preserve">Sharpnose stingray</t>
  </si>
  <si>
    <t xml:space="preserve">Flatwhiskered catfish (Pinirampus pirinampu)</t>
  </si>
  <si>
    <t xml:space="preserve">Bonnetmouths, rubyfishes nei</t>
  </si>
  <si>
    <t xml:space="preserve">African forktail snapper</t>
  </si>
  <si>
    <t xml:space="preserve">Blacktail comber (Serranus atricauda)</t>
  </si>
  <si>
    <t xml:space="preserve">Slickheads nei</t>
  </si>
  <si>
    <t xml:space="preserve">Shortspine African angler</t>
  </si>
  <si>
    <t xml:space="preserve">Chilean sandperch (Pinguipes chilensis)</t>
  </si>
  <si>
    <t xml:space="preserve">Hoplias microlepis (Hoplias microlepis)</t>
  </si>
  <si>
    <t xml:space="preserve">Chrysichthys sianenna (Chrysichthys sianenna)</t>
  </si>
  <si>
    <t xml:space="preserve">Banded yellowfish</t>
  </si>
  <si>
    <t xml:space="preserve">Squirrelfish (Holocentrus ascensionis)</t>
  </si>
  <si>
    <t xml:space="preserve">Barbeled houndshark (Leptocharias smithii)</t>
  </si>
  <si>
    <t xml:space="preserve">Broadnose skate (Bathyraja brachyurops)</t>
  </si>
  <si>
    <t xml:space="preserve">Spotted eagle ray (Aetobatus narinari)</t>
  </si>
  <si>
    <t xml:space="preserve">Sterlet sturgeon</t>
  </si>
  <si>
    <t xml:space="preserve">Painted sweetlips</t>
  </si>
  <si>
    <t xml:space="preserve">Forktail lates (Lates microlepis)</t>
  </si>
  <si>
    <t xml:space="preserve">Red pike conger</t>
  </si>
  <si>
    <t xml:space="preserve">South American silver porgy</t>
  </si>
  <si>
    <t xml:space="preserve">Common eagle ray</t>
  </si>
  <si>
    <t xml:space="preserve">Redmouth grouper</t>
  </si>
  <si>
    <t xml:space="preserve">Frostfishes</t>
  </si>
  <si>
    <t xml:space="preserve">Tomtate grunt (Haemulon aurolineatum)</t>
  </si>
  <si>
    <t xml:space="preserve">Pinfish (Lagodon rhomboides)</t>
  </si>
  <si>
    <t xml:space="preserve">Brown bullhead (Ameiurus nebulosus)</t>
  </si>
  <si>
    <t xml:space="preserve">35-168</t>
  </si>
  <si>
    <t xml:space="preserve">Smooth butterfly ray (Gymnura micrura)</t>
  </si>
  <si>
    <t xml:space="preserve">Warsaw grouper (Epinephelus nigritus)</t>
  </si>
  <si>
    <t xml:space="preserve">13,636-36,364</t>
  </si>
  <si>
    <t xml:space="preserve">Yellowlip emperor</t>
  </si>
  <si>
    <t xml:space="preserve">Bluefin trevally</t>
  </si>
  <si>
    <t xml:space="preserve">Green terror (Aequidens rivulatus)</t>
  </si>
  <si>
    <t xml:space="preserve">Northern puffer</t>
  </si>
  <si>
    <t xml:space="preserve">American conger (Conger oceanicus)</t>
  </si>
  <si>
    <t xml:space="preserve">4,545-9,090</t>
  </si>
  <si>
    <t xml:space="preserve">Broomtail grouper (Mycteroperca xenarcha)</t>
  </si>
  <si>
    <t xml:space="preserve">20,020-27,300</t>
  </si>
  <si>
    <t xml:space="preserve">California sheephead (Semicossyphus pulcher)</t>
  </si>
  <si>
    <t xml:space="preserve">3,520-4,800</t>
  </si>
  <si>
    <t xml:space="preserve">Bluntnose sixgill shark (Hexanchus griseus)</t>
  </si>
  <si>
    <t xml:space="preserve">500,000-500,000</t>
  </si>
  <si>
    <t xml:space="preserve">Sharpsnout seabream (Diplodus puntazzo)</t>
  </si>
  <si>
    <t xml:space="preserve">Angular roughshark (Oxynotus centrina)</t>
  </si>
  <si>
    <t xml:space="preserve">Suckers nei</t>
  </si>
  <si>
    <t xml:space="preserve">Slimeheads nei</t>
  </si>
  <si>
    <t xml:space="preserve">Payara (Hydrolycus scomberoides)</t>
  </si>
  <si>
    <t xml:space="preserve">Undulate ray (Raja undulata)</t>
  </si>
  <si>
    <t xml:space="preserve">Marbled swamp eel (Synbranchus marmoratus)</t>
  </si>
  <si>
    <t xml:space="preserve">Sawtooth barracuda (Sphyraena putnamae)</t>
  </si>
  <si>
    <t xml:space="preserve">Maracaibo leatherjacket (Oligoplites palometa)</t>
  </si>
  <si>
    <t xml:space="preserve">Four-spot megrim</t>
  </si>
  <si>
    <t xml:space="preserve">Longnose velvet dogfish</t>
  </si>
  <si>
    <t xml:space="preserve">Bastard grunt (Pomadasys incisus)</t>
  </si>
  <si>
    <t xml:space="preserve">27-419</t>
  </si>
  <si>
    <t xml:space="preserve">Comet grouper</t>
  </si>
  <si>
    <t xml:space="preserve">Greenland shark</t>
  </si>
  <si>
    <t xml:space="preserve">Sand weakfish (Cynoscion arenarius)</t>
  </si>
  <si>
    <t xml:space="preserve">Pimelodus maculatus (Pimelodus maculatus)</t>
  </si>
  <si>
    <t xml:space="preserve">Caribbean sharpnose shark (Rhizoprionodon porosus)</t>
  </si>
  <si>
    <t xml:space="preserve">Flying gurnard</t>
  </si>
  <si>
    <t xml:space="preserve">Longfin hake (Phycis chesteri)</t>
  </si>
  <si>
    <t xml:space="preserve">Spinner shark (Carcharhinus brevipinna)</t>
  </si>
  <si>
    <t xml:space="preserve">Mountain mullet (Agonostomus monticola)</t>
  </si>
  <si>
    <t xml:space="preserve">128-128</t>
  </si>
  <si>
    <t xml:space="preserve">Trumpet emperor (Lethrinus miniatus)</t>
  </si>
  <si>
    <t xml:space="preserve">Common guitarfish (Rhinobatos rhinobatos)</t>
  </si>
  <si>
    <t xml:space="preserve">Twaite shad</t>
  </si>
  <si>
    <t xml:space="preserve">Sickle pomfret (Taractichthys steindachneri)</t>
  </si>
  <si>
    <t xml:space="preserve">7,128-8,036</t>
  </si>
  <si>
    <t xml:space="preserve">Brycon dentex (Brycon dentex)</t>
  </si>
  <si>
    <t xml:space="preserve">Velvet belly</t>
  </si>
  <si>
    <t xml:space="preserve">Black dogfish (Centroscyllium fabricii)</t>
  </si>
  <si>
    <t xml:space="preserve">1,085-2,328</t>
  </si>
  <si>
    <t xml:space="preserve">Channel bull blenny</t>
  </si>
  <si>
    <t xml:space="preserve">Blue fathead (Cubiceps caeruleus)</t>
  </si>
  <si>
    <t xml:space="preserve">Caquetaia kraussii (Caquetaia kraussii)</t>
  </si>
  <si>
    <t xml:space="preserve">Yellowfin notothen (Patagonotothen guntheri)</t>
  </si>
  <si>
    <t xml:space="preserve">Zamurito (Calophysus macropterus)</t>
  </si>
  <si>
    <t xml:space="preserve">Chars nei</t>
  </si>
  <si>
    <t xml:space="preserve">Finetooth shark (Carcharhinus isodon)</t>
  </si>
  <si>
    <t xml:space="preserve">Silver-cheeked toadfish (Lagocephalus sceleratus)</t>
  </si>
  <si>
    <t xml:space="preserve">Splitnose rockfish (Sebastes diploproa)</t>
  </si>
  <si>
    <t xml:space="preserve">Bluestripe herring (Herklotsichthys quadrimaculatus)</t>
  </si>
  <si>
    <t xml:space="preserve">13-25</t>
  </si>
  <si>
    <t xml:space="preserve">Common bluestripe snapper</t>
  </si>
  <si>
    <t xml:space="preserve">Longfin mako</t>
  </si>
  <si>
    <t xml:space="preserve">Fourlined terapon</t>
  </si>
  <si>
    <t xml:space="preserve">Kelp greenling</t>
  </si>
  <si>
    <t xml:space="preserve">Intermediate scabbardfish (Aphanopus intermedius)</t>
  </si>
  <si>
    <t xml:space="preserve">Canary rockfish (Sebastes pinniger)</t>
  </si>
  <si>
    <t xml:space="preserve">Atlantic weasel shark (Paragaleus pectoralis)</t>
  </si>
  <si>
    <t xml:space="preserve">Longtail stingray</t>
  </si>
  <si>
    <t xml:space="preserve">Starry flounder</t>
  </si>
  <si>
    <t xml:space="preserve">Smooth puffer (Lagocephalus laevigatus)</t>
  </si>
  <si>
    <t xml:space="preserve">Bocaccio rockfish (Sebastes paucispinis)</t>
  </si>
  <si>
    <t xml:space="preserve">2,119-2,889</t>
  </si>
  <si>
    <t xml:space="preserve">Banded rudderfish (Seriola zonata)</t>
  </si>
  <si>
    <t xml:space="preserve">Gorean snapper (Lutjanus goreensis)</t>
  </si>
  <si>
    <t xml:space="preserve">Broadnose sevengill shark (Notorynchus cepedianus)</t>
  </si>
  <si>
    <t xml:space="preserve">22,613-22,613</t>
  </si>
  <si>
    <t xml:space="preserve">Brownstripe red snapper (Lutjanus vitta)</t>
  </si>
  <si>
    <t xml:space="preserve">Starry sturgeon (Acipenser stellatus)</t>
  </si>
  <si>
    <t xml:space="preserve">8,953-8,953</t>
  </si>
  <si>
    <t xml:space="preserve">Western Atlantic seabream</t>
  </si>
  <si>
    <t xml:space="preserve">Starry smooth-hound</t>
  </si>
  <si>
    <t xml:space="preserve">Skilfish (Erilepis zonifer)</t>
  </si>
  <si>
    <t xml:space="preserve">Aplodactylus punctatus (Aplodactylus punctatus)</t>
  </si>
  <si>
    <t xml:space="preserve">Bigeye lates (Lates mariae)</t>
  </si>
  <si>
    <t xml:space="preserve">South American catfish (Rhamdia quelen)</t>
  </si>
  <si>
    <t xml:space="preserve">Great white shark (Carcharodon carcharias)</t>
  </si>
  <si>
    <t xml:space="preserve">680,000-680,000</t>
  </si>
  <si>
    <t xml:space="preserve">Kerguelen sandpaper skate</t>
  </si>
  <si>
    <t xml:space="preserve">Mediterranean slimehead</t>
  </si>
  <si>
    <t xml:space="preserve">White croaker</t>
  </si>
  <si>
    <t xml:space="preserve">Patagonian rockcod</t>
  </si>
  <si>
    <t xml:space="preserve">Slender rainbow sardine (Dussumieria elopsoides)</t>
  </si>
  <si>
    <t xml:space="preserve">5-62</t>
  </si>
  <si>
    <t xml:space="preserve">Atlantic tomcod (Microgadus tomcod)</t>
  </si>
  <si>
    <t xml:space="preserve">108-258</t>
  </si>
  <si>
    <t xml:space="preserve">Dories nei</t>
  </si>
  <si>
    <t xml:space="preserve">Blackfin snapper (Lutjanus buccanella)</t>
  </si>
  <si>
    <t xml:space="preserve">Mediterranean dealfish (Trachipterus trachypterus)</t>
  </si>
  <si>
    <t xml:space="preserve">Great hammerhead (Sphyrna mokarran)</t>
  </si>
  <si>
    <t xml:space="preserve">God's flounder (Cyclopsetta panamensis)</t>
  </si>
  <si>
    <t xml:space="preserve">Beluga (Huso huso)</t>
  </si>
  <si>
    <t xml:space="preserve">35,000-100,000</t>
  </si>
  <si>
    <t xml:space="preserve">Chubs nei</t>
  </si>
  <si>
    <t xml:space="preserve">Peacock cichlid</t>
  </si>
  <si>
    <t xml:space="preserve">Brown ray</t>
  </si>
  <si>
    <t xml:space="preserve">Arrowhead dogfish (Deania profundorum)</t>
  </si>
  <si>
    <t xml:space="preserve">Yellowfin grouper (Mycteroperca venenosa)</t>
  </si>
  <si>
    <t xml:space="preserve">6,810-6,810</t>
  </si>
  <si>
    <t xml:space="preserve">Butterfly kingfish (Gasterochisma melampus)</t>
  </si>
  <si>
    <t xml:space="preserve">Curled picarel (Centracanthus cirrus)</t>
  </si>
  <si>
    <t xml:space="preserve">Eaton's skate</t>
  </si>
  <si>
    <t xml:space="preserve">Speckled hind (Epinephelus drummondhayi)</t>
  </si>
  <si>
    <t xml:space="preserve">Pimelodus albicans (Pimelodus albicans)</t>
  </si>
  <si>
    <t xml:space="preserve">Spotback skate (Raja castelnaui)</t>
  </si>
  <si>
    <t xml:space="preserve">Barrelfish</t>
  </si>
  <si>
    <t xml:space="preserve">Chola guitarfish</t>
  </si>
  <si>
    <t xml:space="preserve">Longspine burrfish (Tragulichthys jaculiferus )</t>
  </si>
  <si>
    <t xml:space="preserve">Pike icefish</t>
  </si>
  <si>
    <t xml:space="preserve">Redcoat (Sargocentron rubrum)</t>
  </si>
  <si>
    <t xml:space="preserve">Spanish ling (Molva macrophthalma)</t>
  </si>
  <si>
    <t xml:space="preserve">Wenchman (Pristipomoides aquilonaris)</t>
  </si>
  <si>
    <t xml:space="preserve">Porthole shovelnose catfish (Hemisorubim platyrhynchos)</t>
  </si>
  <si>
    <t xml:space="preserve">Brook trout (Salvelinus fontinalis)</t>
  </si>
  <si>
    <t xml:space="preserve">Lemon shark</t>
  </si>
  <si>
    <t xml:space="preserve">Red lionfish (Pterois volitans)</t>
  </si>
  <si>
    <t xml:space="preserve">Pigfish</t>
  </si>
  <si>
    <t xml:space="preserve">Basketwork eel (Diastobranchus capensis)</t>
  </si>
  <si>
    <t xml:space="preserve">2,250-3,068</t>
  </si>
  <si>
    <t xml:space="preserve">Roudi escolar</t>
  </si>
  <si>
    <t xml:space="preserve">Righteye flounders nei</t>
  </si>
  <si>
    <t xml:space="preserve">Largescale triggerfish (Canthidermis macrolepis)</t>
  </si>
  <si>
    <t xml:space="preserve">Brazilian sharpnose shark (Rhizoprionodon lalandii)</t>
  </si>
  <si>
    <t xml:space="preserve">Crocodile icefishes nei (Channichthyidae)</t>
  </si>
  <si>
    <t xml:space="preserve">Offshore silver hake</t>
  </si>
  <si>
    <t xml:space="preserve">Atlantic bigeye (Priacanthus arenatus)</t>
  </si>
  <si>
    <t xml:space="preserve">618-618</t>
  </si>
  <si>
    <t xml:space="preserve">Smalltail shark</t>
  </si>
  <si>
    <t xml:space="preserve">Swordspine snook (Centropomus ensiferus)</t>
  </si>
  <si>
    <t xml:space="preserve">Basking shark (Cetorhinus maximus)</t>
  </si>
  <si>
    <t xml:space="preserve">3,000,000-3,000,000</t>
  </si>
  <si>
    <t xml:space="preserve">Chrysichthys stappersii (Chrysichthys stappersii)</t>
  </si>
  <si>
    <t xml:space="preserve">Pink maomao</t>
  </si>
  <si>
    <t xml:space="preserve">Bignose fanskate (Sympterygia acuta)</t>
  </si>
  <si>
    <t xml:space="preserve">Crested bellowfish (Notopogon lilliei )</t>
  </si>
  <si>
    <t xml:space="preserve">Bank rockfish (Sebastes rufus)</t>
  </si>
  <si>
    <t xml:space="preserve">Cape redfish (Sebastes capensis)</t>
  </si>
  <si>
    <t xml:space="preserve">Atlantic rubyfish (Erythrocles monodi)</t>
  </si>
  <si>
    <t xml:space="preserve">Huchen</t>
  </si>
  <si>
    <t xml:space="preserve">Common stingray</t>
  </si>
  <si>
    <t xml:space="preserve">Vermilion rockfish (Sebastes miniatus)</t>
  </si>
  <si>
    <t xml:space="preserve">Blackgill rockfish (Sebastes melanostomus)</t>
  </si>
  <si>
    <t xml:space="preserve">Scaly gurnard</t>
  </si>
  <si>
    <t xml:space="preserve">Brycon orbignyanus (Brycon orbignyanus)</t>
  </si>
  <si>
    <t xml:space="preserve">Blueback shad (Alosa aestivalis)</t>
  </si>
  <si>
    <t xml:space="preserve">44-60</t>
  </si>
  <si>
    <t xml:space="preserve">Moray cods nei</t>
  </si>
  <si>
    <t xml:space="preserve">African bullhead (Lophiobagrus cyclurus)</t>
  </si>
  <si>
    <t xml:space="preserve">Mottled grouper (Mycteroperca rubra)</t>
  </si>
  <si>
    <t xml:space="preserve">Electric catfish (Malapterurus electricus)</t>
  </si>
  <si>
    <t xml:space="preserve">Redbanded rockfish (Sebastes babcocki)</t>
  </si>
  <si>
    <t xml:space="preserve">Fourspot flounder (Paralichthys oblongus)</t>
  </si>
  <si>
    <t xml:space="preserve">Slender rockfish (Scorpaena elongata)</t>
  </si>
  <si>
    <t xml:space="preserve">Small red scorpionfish (Scorpaena notata)</t>
  </si>
  <si>
    <t xml:space="preserve">Trout sweetlips</t>
  </si>
  <si>
    <t xml:space="preserve">Bigeye grenadier (Macrourus holotrachys)</t>
  </si>
  <si>
    <t xml:space="preserve">468-468</t>
  </si>
  <si>
    <t xml:space="preserve">Threadfin rockling (Gaidropsarus ensis)</t>
  </si>
  <si>
    <t xml:space="preserve">Marbled rockcod</t>
  </si>
  <si>
    <t xml:space="preserve">15,000-15,000</t>
  </si>
  <si>
    <t xml:space="preserve">Sand tilefish (Malacanthus plumieri)</t>
  </si>
  <si>
    <t xml:space="preserve">Sailray</t>
  </si>
  <si>
    <t xml:space="preserve">Bubu (Auchenoglanis occidentalis)</t>
  </si>
  <si>
    <t xml:space="preserve">Giant boarfish</t>
  </si>
  <si>
    <t xml:space="preserve">Pacific spadefish (Chaetodipterus zonatus)</t>
  </si>
  <si>
    <t xml:space="preserve">Tanganyika lates (Lates angustifrons)</t>
  </si>
  <si>
    <t xml:space="preserve">Black musselcracker</t>
  </si>
  <si>
    <t xml:space="preserve">Lookdown (Selene vomer)</t>
  </si>
  <si>
    <t xml:space="preserve">Hagfish (Myxine glutinosa)</t>
  </si>
  <si>
    <t xml:space="preserve">Angelfishes nei</t>
  </si>
  <si>
    <t xml:space="preserve">Panama hake</t>
  </si>
  <si>
    <t xml:space="preserve">Rock sea bass (Centropristis philadelphica)</t>
  </si>
  <si>
    <t xml:space="preserve">Grenadier cod</t>
  </si>
  <si>
    <t xml:space="preserve">Jolthead porgy (Calamus bajonado)</t>
  </si>
  <si>
    <t xml:space="preserve">Norwegian skate (Raja nidarosiensis)</t>
  </si>
  <si>
    <t xml:space="preserve">Marbled spinefoot (Siganus rivulatus)</t>
  </si>
  <si>
    <t xml:space="preserve">Patagonian skate (Bathyraja macloviana)</t>
  </si>
  <si>
    <t xml:space="preserve">California butterfly ray (Gymnura marmorata)</t>
  </si>
  <si>
    <t xml:space="preserve">Marini's anchovy (Anchoa marinii)</t>
  </si>
  <si>
    <t xml:space="preserve">Australian bonito (Sarda australis)</t>
  </si>
  <si>
    <t xml:space="preserve">Mastacembelus cunningtoni (Mastacembelus cunningtoni)</t>
  </si>
  <si>
    <t xml:space="preserve">Piper gurnard (Trigla lyra)</t>
  </si>
  <si>
    <t xml:space="preserve">Atlantic goldeneye tilefish (Caulolatilus chrysops)</t>
  </si>
  <si>
    <t xml:space="preserve">951-951</t>
  </si>
  <si>
    <t xml:space="preserve">Lings nei</t>
  </si>
  <si>
    <t xml:space="preserve">Spiny scorpionfish</t>
  </si>
  <si>
    <t xml:space="preserve">Gopher rockfish (Sebastes carnatus)</t>
  </si>
  <si>
    <t xml:space="preserve">Kibonde (Chrysichthys brachynema)</t>
  </si>
  <si>
    <t xml:space="preserve">Common dace</t>
  </si>
  <si>
    <t xml:space="preserve">Mediterranean sand smelt (Atherina hepsetus)</t>
  </si>
  <si>
    <t xml:space="preserve">Pacific tripletail (Lobotes pacificus)</t>
  </si>
  <si>
    <t xml:space="preserve">Patagonian redfish (Sebastes oculatus)</t>
  </si>
  <si>
    <t xml:space="preserve">109-149</t>
  </si>
  <si>
    <t xml:space="preserve">White margate</t>
  </si>
  <si>
    <t xml:space="preserve">Bonnethead (Sphyrna tiburo)</t>
  </si>
  <si>
    <t xml:space="preserve">Longspine snipefish</t>
  </si>
  <si>
    <t xml:space="preserve">Pacific porgy (Calamus brachysomus)</t>
  </si>
  <si>
    <t xml:space="preserve">Arctic skate (Amblyraja hyperborea)</t>
  </si>
  <si>
    <t xml:space="preserve">1,201-1,731</t>
  </si>
  <si>
    <t xml:space="preserve">Dealfishes</t>
  </si>
  <si>
    <t xml:space="preserve">Parrot grunt (Pomadasys perotaei)</t>
  </si>
  <si>
    <t xml:space="preserve">Atlantic needlefish (Strongylura marina)</t>
  </si>
  <si>
    <t xml:space="preserve">Rainbow wrasse (Coris julis)</t>
  </si>
  <si>
    <t xml:space="preserve">Brazilian sandperch (Pinguipes brasilianus)</t>
  </si>
  <si>
    <t xml:space="preserve">Antarctic starry skate (Amblyraja georgiana)</t>
  </si>
  <si>
    <t xml:space="preserve">Lesser amberjack (Seriola fasciata)</t>
  </si>
  <si>
    <t xml:space="preserve">Black driftfish (Hyperoglyphe bythites)</t>
  </si>
  <si>
    <t xml:space="preserve">1,364-2,727</t>
  </si>
  <si>
    <t xml:space="preserve">Imperial blackfish</t>
  </si>
  <si>
    <t xml:space="preserve">Misty grouper (Epinephelus mystacinus)</t>
  </si>
  <si>
    <t xml:space="preserve">Cunner</t>
  </si>
  <si>
    <t xml:space="preserve">Red gurnard perch (Helicolenus percoides)</t>
  </si>
  <si>
    <t xml:space="preserve">Brown moray (Gymnothorax unicolor)</t>
  </si>
  <si>
    <t xml:space="preserve">Lantern fish</t>
  </si>
  <si>
    <t xml:space="preserve">Brown smooth-hound (Mustelus henlei)</t>
  </si>
  <si>
    <t xml:space="preserve">471-2,685</t>
  </si>
  <si>
    <t xml:space="preserve">Permit (Trachinotus falcatus)</t>
  </si>
  <si>
    <t xml:space="preserve">Aurora rockfish (Sebastes aurora)</t>
  </si>
  <si>
    <t xml:space="preserve">Volga pikeperch (Sander volgensis)</t>
  </si>
  <si>
    <t xml:space="preserve">Chrysichthys platycephalus (Chrysichthys platycephalus)</t>
  </si>
  <si>
    <t xml:space="preserve">Mouse catshark</t>
  </si>
  <si>
    <t xml:space="preserve">Atlantic puffers nei</t>
  </si>
  <si>
    <t xml:space="preserve">Roundscale spearfish (Tetrapturus georgii)</t>
  </si>
  <si>
    <t xml:space="preserve">Giant seabass</t>
  </si>
  <si>
    <t xml:space="preserve">Grunts nei (Haemulon spp)</t>
  </si>
  <si>
    <t xml:space="preserve">Cardinal snapper (Pristipomoides macrophthalmus)</t>
  </si>
  <si>
    <t xml:space="preserve">Pacific sleeper shark</t>
  </si>
  <si>
    <t xml:space="preserve">Long snouted lancetfish (Alepisaurus ferox)</t>
  </si>
  <si>
    <t xml:space="preserve">Red steenbras</t>
  </si>
  <si>
    <t xml:space="preserve">Sand tiger shark</t>
  </si>
  <si>
    <t xml:space="preserve">Small-scaled terapon (Terapon puta)</t>
  </si>
  <si>
    <t xml:space="preserve">Dogtooth grouper</t>
  </si>
  <si>
    <t xml:space="preserve">Slender smooth-hound (Gollum attenuatus)</t>
  </si>
  <si>
    <t xml:space="preserve">Wuchang bream</t>
  </si>
  <si>
    <t xml:space="preserve">Danube bleak</t>
  </si>
  <si>
    <t xml:space="preserve">Great lanternshark (Etmopterus princeps)</t>
  </si>
  <si>
    <t xml:space="preserve">African pompano (Alectis ciliaris)</t>
  </si>
  <si>
    <t xml:space="preserve">Rock hind (Epinephelus adscensionis)</t>
  </si>
  <si>
    <t xml:space="preserve">Bluespotted cornetfish (Fistularia commersonii)</t>
  </si>
  <si>
    <t xml:space="preserve">Painted comber (Serranus scriba)</t>
  </si>
  <si>
    <t xml:space="preserve">Threadfin shad (Dorosoma petenense)</t>
  </si>
  <si>
    <t xml:space="preserve">Cape fathead (Cubiceps capensis)</t>
  </si>
  <si>
    <t xml:space="preserve">Creole wrasse (Clepticus parrae)</t>
  </si>
  <si>
    <t xml:space="preserve">Devil fish</t>
  </si>
  <si>
    <t xml:space="preserve">Dusky spinefoot (Siganus luridus)</t>
  </si>
  <si>
    <t xml:space="preserve">Ocean pout</t>
  </si>
  <si>
    <t xml:space="preserve">Giant manta (Manta birostris)</t>
  </si>
  <si>
    <t xml:space="preserve">Sharptooth houndshark</t>
  </si>
  <si>
    <t xml:space="preserve">Southern kingcroaker (Menticirrhus americanus)</t>
  </si>
  <si>
    <t xml:space="preserve">Crocodile shark</t>
  </si>
  <si>
    <t xml:space="preserve">Slender codling (Halargyreus johnsonii)</t>
  </si>
  <si>
    <t xml:space="preserve">Humped rockcod</t>
  </si>
  <si>
    <t xml:space="preserve">Chionobathyscus dewitti</t>
  </si>
  <si>
    <t xml:space="preserve">Live sharksucker</t>
  </si>
  <si>
    <t xml:space="preserve">Snowtrouts nei (Schizothorax spp)</t>
  </si>
  <si>
    <t xml:space="preserve">South Georgia icefish</t>
  </si>
  <si>
    <t xml:space="preserve">Bigspined boarfish (Pentaceros decacanthus)</t>
  </si>
  <si>
    <t xml:space="preserve">Black rockcod</t>
  </si>
  <si>
    <t xml:space="preserve">Knout goby (Mesogobius batrachocephalus)</t>
  </si>
  <si>
    <t xml:space="preserve">Murray's skate</t>
  </si>
  <si>
    <t xml:space="preserve">Pink dentex (Dentex gibbosus)</t>
  </si>
  <si>
    <t xml:space="preserve">Whitespotted grouper (Epinephelus caeruleopunctatus)</t>
  </si>
  <si>
    <t xml:space="preserve">Blackfin icefish (Chaenocephalus aceratus)</t>
  </si>
  <si>
    <t xml:space="preserve">788-929</t>
  </si>
  <si>
    <t xml:space="preserve">Blue maomao (Scorpis violacea)</t>
  </si>
  <si>
    <t xml:space="preserve">Leopard shark (Triakis semifasciata)</t>
  </si>
  <si>
    <t xml:space="preserve">Percarina</t>
  </si>
  <si>
    <t xml:space="preserve">Triangular rockcod</t>
  </si>
  <si>
    <t xml:space="preserve">Black snapper (Apsilus dentatus)</t>
  </si>
  <si>
    <t xml:space="preserve">Elongate tonguesole (Symphurus ligulatus)</t>
  </si>
  <si>
    <t xml:space="preserve">Sharpnose sevengill shark (Heptranchias perlo)</t>
  </si>
  <si>
    <t xml:space="preserve">Black goby (Gobius niger)</t>
  </si>
  <si>
    <t xml:space="preserve">Silver chimaera (Chimaera phantasma)</t>
  </si>
  <si>
    <t xml:space="preserve">Bramble shark</t>
  </si>
  <si>
    <t xml:space="preserve">Caspian shad (Alosa caspia)</t>
  </si>
  <si>
    <t xml:space="preserve">Herrings, sardines nei (Clupeidae)</t>
  </si>
  <si>
    <t xml:space="preserve">Little sleeper shark</t>
  </si>
  <si>
    <t xml:space="preserve">Sculpins</t>
  </si>
  <si>
    <t xml:space="preserve">Spottail spiny turbot</t>
  </si>
  <si>
    <t xml:space="preserve">Bathyraja rays nei (Bathyraja spp)</t>
  </si>
  <si>
    <t xml:space="preserve">277-3,180</t>
  </si>
  <si>
    <t xml:space="preserve">Black bullhead (Ameiurus melas)</t>
  </si>
  <si>
    <t xml:space="preserve">Stout beardfish</t>
  </si>
  <si>
    <t xml:space="preserve">Duckbill barracudina (Magnisudis atlantica)</t>
  </si>
  <si>
    <t xml:space="preserve">Painted eel (Echelus myrus)</t>
  </si>
  <si>
    <t xml:space="preserve">Plunket shark (Centroscymnus plunketi)</t>
  </si>
  <si>
    <t xml:space="preserve">Round ray (Raja fyllae)</t>
  </si>
  <si>
    <t xml:space="preserve">Spotted ratfish</t>
  </si>
  <si>
    <t xml:space="preserve">Broad-striped anchovy (Anchoa hepsetus)</t>
  </si>
  <si>
    <t xml:space="preserve">16-16</t>
  </si>
  <si>
    <t xml:space="preserve">Combers nei (Serranus spp)</t>
  </si>
  <si>
    <t xml:space="preserve">Odontesthes smitti (Odontesthes smitti)</t>
  </si>
  <si>
    <t xml:space="preserve">Painted notie</t>
  </si>
  <si>
    <t xml:space="preserve">Reticulated leatherjacket (Stephanolepis diaspros)</t>
  </si>
  <si>
    <t xml:space="preserve">Sailfin roughshark</t>
  </si>
  <si>
    <t xml:space="preserve">Sattar snowtrout (Schizothorax curvifrons)</t>
  </si>
  <si>
    <t xml:space="preserve">Southern opah</t>
  </si>
  <si>
    <t xml:space="preserve">Steenbrasses nei</t>
  </si>
  <si>
    <t xml:space="preserve">Atlantic lizardfish (Synodus saurus)</t>
  </si>
  <si>
    <t xml:space="preserve">Caml grenadier (Macrourus caml)</t>
  </si>
  <si>
    <t xml:space="preserve">Copper mahseer (Neolissochilus hexagonolepis)</t>
  </si>
  <si>
    <t xml:space="preserve">Hooknose (Agonus cataphractus)</t>
  </si>
  <si>
    <t xml:space="preserve">Houting</t>
  </si>
  <si>
    <t xml:space="preserve">Lesser weever (Trachinus vipera)</t>
  </si>
  <si>
    <t xml:space="preserve">Lusitanian toadfish</t>
  </si>
  <si>
    <t xml:space="preserve">Opaleye</t>
  </si>
  <si>
    <t xml:space="preserve">Roughtail stingray (Dasyatis centroura)</t>
  </si>
  <si>
    <t xml:space="preserve">Smalleye moray cod</t>
  </si>
  <si>
    <t xml:space="preserve">Antarctic silverfish (Pleuragramma antarcticum)</t>
  </si>
  <si>
    <t xml:space="preserve">21-21</t>
  </si>
  <si>
    <t xml:space="preserve">Atlantic fanfish (Pterycombus brama)</t>
  </si>
  <si>
    <t xml:space="preserve">Bichique</t>
  </si>
  <si>
    <t xml:space="preserve">Brown wrasse (Labrus merula)</t>
  </si>
  <si>
    <t xml:space="preserve">Combtooth blennies (Blenniidae)</t>
  </si>
  <si>
    <t xml:space="preserve">Madeiran ray (Raja maderensis)</t>
  </si>
  <si>
    <t xml:space="preserve">Mud carp</t>
  </si>
  <si>
    <t xml:space="preserve">Pelagic stingray (Dasyatis violacea)</t>
  </si>
  <si>
    <t xml:space="preserve">Roughskin dogfish (Centroscymnus owstoni)</t>
  </si>
  <si>
    <t xml:space="preserve">Sevan trout (Salmo ischchan)</t>
  </si>
  <si>
    <t xml:space="preserve">Slender armorhead (Pseudopentaceros wheeleri)</t>
  </si>
  <si>
    <t xml:space="preserve">Small sandeel (Ammodytes tobianus)</t>
  </si>
  <si>
    <t xml:space="preserve">Snaggletooth (Borostomias antarcticus)</t>
  </si>
  <si>
    <t xml:space="preserve">Striped-eyed rockcod</t>
  </si>
  <si>
    <t xml:space="preserve">Elasticity factor</t>
  </si>
  <si>
    <t xml:space="preserve">Elasticity adjusted lives direct</t>
  </si>
  <si>
    <t xml:space="preserve">Elasticity adjusted lives total</t>
  </si>
  <si>
    <t xml:space="preserve">LAMB/MUTTON</t>
  </si>
  <si>
    <t xml:space="preserve">GOAT</t>
  </si>
  <si>
    <t xml:space="preserve">Fish (unidentified)</t>
  </si>
  <si>
    <t xml:space="preserve">Miscellaneouos Carp</t>
  </si>
  <si>
    <t xml:space="preserve">Silver or Bighead Carp</t>
  </si>
  <si>
    <t xml:space="preserve">Anchovies</t>
  </si>
  <si>
    <t xml:space="preserve">Billfishes</t>
  </si>
  <si>
    <t xml:space="preserve">Bluefin tuna</t>
  </si>
  <si>
    <t xml:space="preserve">Bonitos</t>
  </si>
  <si>
    <t xml:space="preserve">Congers</t>
  </si>
  <si>
    <t xml:space="preserve">Flounder</t>
  </si>
  <si>
    <t xml:space="preserve">Haddock</t>
  </si>
  <si>
    <t xml:space="preserve">Hake</t>
  </si>
  <si>
    <t xml:space="preserve">Halibut</t>
  </si>
  <si>
    <t xml:space="preserve">Herring</t>
  </si>
  <si>
    <t xml:space="preserve">Jacks</t>
  </si>
  <si>
    <t xml:space="preserve">Lobster</t>
  </si>
  <si>
    <t xml:space="preserve">Mullets</t>
  </si>
  <si>
    <t xml:space="preserve">Redfish</t>
  </si>
  <si>
    <t xml:space="preserve">Sardines</t>
  </si>
  <si>
    <t xml:space="preserve">Sauries</t>
  </si>
  <si>
    <t xml:space="preserve">Tuna (skipjack, yellowfin, albacore)</t>
  </si>
  <si>
    <t xml:space="preserve">Smelt</t>
  </si>
  <si>
    <t xml:space="preserve">Sole</t>
  </si>
  <si>
    <t xml:space="preserve">Squid or cuttlefish or octopus</t>
  </si>
  <si>
    <t xml:space="preserve">Fish (finfish)</t>
  </si>
  <si>
    <t xml:space="preserve">Salmon (mix 70% farmed 30% wild)</t>
  </si>
  <si>
    <t xml:space="preserve">Salmon (farmed)</t>
  </si>
  <si>
    <t xml:space="preserve">Salmon (wild)</t>
  </si>
  <si>
    <t xml:space="preserve">PRELIMINARY: EARLY IN PROGRESS</t>
  </si>
  <si>
    <t xml:space="preserve">Lifetime in days</t>
  </si>
  <si>
    <t xml:space="preserve">Lifetime in days including indirect effects (feed fish, mortality, male chicks and male calves)</t>
  </si>
  <si>
    <t xml:space="preserve">Loss adjusted proportion</t>
  </si>
  <si>
    <t xml:space="preserve">1/milk solids proportion</t>
  </si>
  <si>
    <t xml:space="preserve">Total retail weight per day of life (kg)</t>
  </si>
  <si>
    <t xml:space="preserve">Total retail weight per day of life including indirect effects (kg)</t>
  </si>
  <si>
    <t xml:space="preserve">Dairy ice cream</t>
  </si>
  <si>
    <t xml:space="preserve">Dairy cheese</t>
  </si>
  <si>
    <t xml:space="preserve">Dairy yoghurt</t>
  </si>
  <si>
    <t xml:space="preserve">Dairy butter</t>
  </si>
</sst>
</file>

<file path=xl/styles.xml><?xml version="1.0" encoding="utf-8"?>
<styleSheet xmlns="http://schemas.openxmlformats.org/spreadsheetml/2006/main">
  <numFmts count="40">
    <numFmt numFmtId="164" formatCode="General"/>
    <numFmt numFmtId="165" formatCode="#.000000"/>
    <numFmt numFmtId="166" formatCode="#.00000000000000"/>
    <numFmt numFmtId="167" formatCode="#,##0.00"/>
    <numFmt numFmtId="168" formatCode="#,###.00000000000000"/>
    <numFmt numFmtId="169" formatCode="@"/>
    <numFmt numFmtId="170" formatCode="0.00"/>
    <numFmt numFmtId="171" formatCode="#,##0"/>
    <numFmt numFmtId="172" formatCode="#,##0.000"/>
    <numFmt numFmtId="173" formatCode="#.000"/>
    <numFmt numFmtId="174" formatCode="#.000000000"/>
    <numFmt numFmtId="175" formatCode="#,###.0000"/>
    <numFmt numFmtId="176" formatCode="0"/>
    <numFmt numFmtId="177" formatCode="#.00000"/>
    <numFmt numFmtId="178" formatCode="0.00%"/>
    <numFmt numFmtId="179" formatCode="0%"/>
    <numFmt numFmtId="180" formatCode="0.0%"/>
    <numFmt numFmtId="181" formatCode="0.000000%"/>
    <numFmt numFmtId="182" formatCode="#.0000000"/>
    <numFmt numFmtId="183" formatCode="#,##0.00000"/>
    <numFmt numFmtId="184" formatCode="#,###.0000000"/>
    <numFmt numFmtId="185" formatCode="#.0000000000"/>
    <numFmt numFmtId="186" formatCode="0.0000"/>
    <numFmt numFmtId="187" formatCode="#.00000000"/>
    <numFmt numFmtId="188" formatCode="#.0000"/>
    <numFmt numFmtId="189" formatCode="#.00"/>
    <numFmt numFmtId="190" formatCode="#,###.0"/>
    <numFmt numFmtId="191" formatCode="#,###.000"/>
    <numFmt numFmtId="192" formatCode="0.000"/>
    <numFmt numFmtId="193" formatCode="#,###.00"/>
    <numFmt numFmtId="194" formatCode="#,###"/>
    <numFmt numFmtId="195" formatCode="#,##0.0"/>
    <numFmt numFmtId="196" formatCode="#,###.000000"/>
    <numFmt numFmtId="197" formatCode="0.0"/>
    <numFmt numFmtId="198" formatCode="#.00%"/>
    <numFmt numFmtId="199" formatCode="0.000%"/>
    <numFmt numFmtId="200" formatCode="_-* #,##0_-;\-* #,##0_-;_-* \-??_-;_-@"/>
    <numFmt numFmtId="201" formatCode="#"/>
    <numFmt numFmtId="202" formatCode="0.00000"/>
    <numFmt numFmtId="203" formatCode="#,##0.0000"/>
  </numFmts>
  <fonts count="38">
    <font>
      <sz val="10"/>
      <color rgb="FF000000"/>
      <name val="Arial"/>
      <family val="0"/>
      <charset val="1"/>
    </font>
    <font>
      <sz val="10"/>
      <name val="Arial"/>
      <family val="0"/>
    </font>
    <font>
      <sz val="10"/>
      <name val="Arial"/>
      <family val="0"/>
    </font>
    <font>
      <sz val="10"/>
      <name val="Arial"/>
      <family val="0"/>
    </font>
    <font>
      <sz val="8"/>
      <name val="Arial"/>
      <family val="2"/>
      <charset val="1"/>
    </font>
    <font>
      <b val="true"/>
      <u val="single"/>
      <sz val="14"/>
      <color rgb="FF000000"/>
      <name val="Arial"/>
      <family val="0"/>
      <charset val="1"/>
    </font>
    <font>
      <b val="true"/>
      <u val="single"/>
      <sz val="11"/>
      <color rgb="FF000000"/>
      <name val="Arial"/>
      <family val="0"/>
      <charset val="1"/>
    </font>
    <font>
      <b val="true"/>
      <sz val="10"/>
      <color rgb="FF000000"/>
      <name val="Arial"/>
      <family val="0"/>
      <charset val="1"/>
    </font>
    <font>
      <b val="true"/>
      <sz val="11"/>
      <color rgb="FF000000"/>
      <name val="Arial"/>
      <family val="0"/>
      <charset val="1"/>
    </font>
    <font>
      <i val="true"/>
      <sz val="10"/>
      <color rgb="FF000000"/>
      <name val="Arial"/>
      <family val="0"/>
      <charset val="1"/>
    </font>
    <font>
      <sz val="11"/>
      <color rgb="FF000000"/>
      <name val="Arial"/>
      <family val="0"/>
      <charset val="1"/>
    </font>
    <font>
      <b val="true"/>
      <i val="true"/>
      <sz val="10"/>
      <color rgb="FF000000"/>
      <name val="Arial"/>
      <family val="0"/>
      <charset val="1"/>
    </font>
    <font>
      <b val="true"/>
      <u val="single"/>
      <sz val="12"/>
      <color rgb="FF000000"/>
      <name val="Arial"/>
      <family val="0"/>
      <charset val="1"/>
    </font>
    <font>
      <sz val="10"/>
      <name val="Arial"/>
      <family val="2"/>
    </font>
    <font>
      <sz val="10"/>
      <color rgb="FF0000FF"/>
      <name val="Arial"/>
      <family val="2"/>
      <charset val="1"/>
    </font>
    <font>
      <sz val="10"/>
      <name val="Arial"/>
      <family val="2"/>
      <charset val="1"/>
    </font>
    <font>
      <sz val="10"/>
      <name val="Times New Roman"/>
      <family val="1"/>
      <charset val="1"/>
    </font>
    <font>
      <sz val="9"/>
      <color rgb="FF000000"/>
      <name val="Liberation Sans Narrow"/>
      <family val="2"/>
      <charset val="1"/>
    </font>
    <font>
      <sz val="9"/>
      <color rgb="FF000000"/>
      <name val="Arial"/>
      <family val="0"/>
      <charset val="1"/>
    </font>
    <font>
      <sz val="11"/>
      <name val="TimesNewRomanPSMT"/>
      <family val="1"/>
      <charset val="1"/>
    </font>
    <font>
      <b val="true"/>
      <sz val="10"/>
      <color rgb="FF222222"/>
      <name val="Arial"/>
      <family val="0"/>
      <charset val="1"/>
    </font>
    <font>
      <sz val="10"/>
      <color rgb="FF222222"/>
      <name val="Arial"/>
      <family val="0"/>
      <charset val="1"/>
    </font>
    <font>
      <sz val="10"/>
      <color theme="1"/>
      <name val="Arial"/>
      <family val="0"/>
      <charset val="1"/>
    </font>
    <font>
      <b val="true"/>
      <sz val="10"/>
      <name val="Arial"/>
      <family val="2"/>
      <charset val="1"/>
    </font>
    <font>
      <b val="true"/>
      <sz val="10"/>
      <color rgb="FF000000"/>
      <name val="Arial"/>
      <family val="2"/>
      <charset val="1"/>
    </font>
    <font>
      <b val="true"/>
      <sz val="10"/>
      <color rgb="FF0000FF"/>
      <name val="Arial"/>
      <family val="2"/>
      <charset val="1"/>
    </font>
    <font>
      <b val="true"/>
      <sz val="10"/>
      <name val="Times New Roman"/>
      <family val="1"/>
      <charset val="1"/>
    </font>
    <font>
      <b val="true"/>
      <u val="single"/>
      <sz val="12"/>
      <color rgb="FF111111"/>
      <name val="Arial"/>
      <family val="0"/>
      <charset val="1"/>
    </font>
    <font>
      <b val="true"/>
      <sz val="10"/>
      <color rgb="FF111111"/>
      <name val="Arial"/>
      <family val="0"/>
      <charset val="1"/>
    </font>
    <font>
      <sz val="10"/>
      <color rgb="FF111111"/>
      <name val="Arial"/>
      <family val="0"/>
      <charset val="1"/>
    </font>
    <font>
      <u val="single"/>
      <sz val="10"/>
      <color rgb="FF111111"/>
      <name val="Arial"/>
      <family val="0"/>
      <charset val="1"/>
    </font>
    <font>
      <b val="true"/>
      <sz val="12"/>
      <color rgb="FF000000"/>
      <name val="Arial"/>
      <family val="0"/>
      <charset val="1"/>
    </font>
    <font>
      <b val="true"/>
      <u val="single"/>
      <sz val="12"/>
      <color rgb="FF222222"/>
      <name val="Arial"/>
      <family val="0"/>
      <charset val="1"/>
    </font>
    <font>
      <u val="single"/>
      <sz val="10"/>
      <color rgb="FF1155CC"/>
      <name val="Arial"/>
      <family val="0"/>
      <charset val="1"/>
    </font>
    <font>
      <u val="single"/>
      <sz val="10"/>
      <color rgb="FF0000FF"/>
      <name val="Arial"/>
      <family val="0"/>
      <charset val="1"/>
    </font>
    <font>
      <u val="single"/>
      <sz val="10"/>
      <color rgb="FF000000"/>
      <name val="Arial"/>
      <family val="0"/>
      <charset val="1"/>
    </font>
    <font>
      <b val="true"/>
      <u val="single"/>
      <sz val="12"/>
      <color theme="1"/>
      <name val="Arial"/>
      <family val="0"/>
      <charset val="1"/>
    </font>
    <font>
      <b val="true"/>
      <sz val="10"/>
      <color theme="1"/>
      <name val="Arial"/>
      <family val="0"/>
      <charset val="1"/>
    </font>
  </fonts>
  <fills count="4">
    <fill>
      <patternFill patternType="none"/>
    </fill>
    <fill>
      <patternFill patternType="gray125"/>
    </fill>
    <fill>
      <patternFill patternType="solid">
        <fgColor rgb="FFFBBC04"/>
        <bgColor rgb="FFFF9900"/>
      </patternFill>
    </fill>
    <fill>
      <patternFill patternType="solid">
        <fgColor rgb="FFDEE6EF"/>
        <bgColor rgb="FFCCFFFF"/>
      </patternFill>
    </fill>
  </fills>
  <borders count="2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style="hair"/>
      <right/>
      <top/>
      <bottom style="hair"/>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top/>
      <bottom/>
      <diagonal/>
    </border>
    <border diagonalUp="false" diagonalDown="false">
      <left style="thick"/>
      <right style="thin"/>
      <top/>
      <bottom/>
      <diagonal/>
    </border>
    <border diagonalUp="false" diagonalDown="false">
      <left style="thin"/>
      <right style="thin"/>
      <top/>
      <bottom/>
      <diagonal/>
    </border>
    <border diagonalUp="false" diagonalDown="false">
      <left/>
      <right/>
      <top style="thick"/>
      <bottom/>
      <diagonal/>
    </border>
    <border diagonalUp="false" diagonalDown="false">
      <left style="thick"/>
      <right/>
      <top style="thick"/>
      <bottom style="thin"/>
      <diagonal/>
    </border>
    <border diagonalUp="false" diagonalDown="false">
      <left style="thin"/>
      <right/>
      <top style="thick"/>
      <bottom style="thin"/>
      <diagonal/>
    </border>
    <border diagonalUp="false" diagonalDown="false">
      <left style="thin"/>
      <right/>
      <top/>
      <botto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right style="thin"/>
      <top style="thin"/>
      <bottom/>
      <diagonal/>
    </border>
    <border diagonalUp="false" diagonalDown="false">
      <left/>
      <right style="thin"/>
      <top/>
      <botto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ck"/>
      <bottom style="thin"/>
      <diagonal/>
    </border>
    <border diagonalUp="false" diagonalDown="false">
      <left/>
      <right style="medium"/>
      <top/>
      <bottom/>
      <diagonal/>
    </border>
    <border diagonalUp="false" diagonalDown="false">
      <left style="thin"/>
      <right style="thick"/>
      <top style="thick"/>
      <bottom style="thin"/>
      <diagonal/>
    </border>
    <border diagonalUp="false" diagonalDown="false">
      <left style="thin"/>
      <right style="thick"/>
      <top/>
      <bottom/>
      <diagonal/>
    </border>
    <border diagonalUp="false" diagonalDown="false">
      <left/>
      <right style="thick"/>
      <top/>
      <bottom/>
      <diagonal/>
    </border>
    <border diagonalUp="false" diagonalDown="false">
      <left/>
      <right style="thin"/>
      <top/>
      <bottom style="thin"/>
      <diagonal/>
    </border>
    <border diagonalUp="false" diagonalDown="false">
      <left/>
      <right style="thin"/>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n"/>
      <right style="thick"/>
      <top/>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2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tru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right" vertical="bottom" textRotation="0" wrapText="false" indent="0" shrinkToFit="false"/>
      <protection locked="true" hidden="false"/>
    </xf>
    <xf numFmtId="167" fontId="0" fillId="0" borderId="0" xfId="0" applyFont="true" applyBorder="false" applyAlignment="true" applyProtection="true">
      <alignment horizontal="right" vertical="bottom" textRotation="0" wrapText="false" indent="0" shrinkToFit="false"/>
      <protection locked="true" hidden="false"/>
    </xf>
    <xf numFmtId="168" fontId="0" fillId="0" borderId="0" xfId="0" applyFont="true" applyBorder="false" applyAlignment="true" applyProtection="true">
      <alignment horizontal="right" vertical="bottom" textRotation="0" wrapText="false" indent="0" shrinkToFit="false"/>
      <protection locked="true" hidden="false"/>
    </xf>
    <xf numFmtId="169" fontId="0" fillId="0" borderId="0" xfId="0" applyFont="true" applyBorder="false" applyAlignment="true" applyProtection="true">
      <alignment horizontal="right" vertical="bottom" textRotation="0" wrapText="false" indent="0" shrinkToFit="false"/>
      <protection locked="true" hidden="false"/>
    </xf>
    <xf numFmtId="167" fontId="9" fillId="0"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71" fontId="0"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righ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72" fontId="0"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4" fontId="7" fillId="0" borderId="4" xfId="0" applyFont="true" applyBorder="true" applyAlignment="true" applyProtection="true">
      <alignment horizontal="general" vertical="bottom" textRotation="0" wrapText="false" indent="0" shrinkToFit="false"/>
      <protection locked="true" hidden="false"/>
    </xf>
    <xf numFmtId="164" fontId="7" fillId="0" borderId="5"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7" fontId="0" fillId="0" borderId="8" xfId="0" applyFont="true" applyBorder="true" applyAlignment="true" applyProtection="true">
      <alignment horizontal="general" vertical="bottom" textRotation="0" wrapText="false" indent="0" shrinkToFit="false"/>
      <protection locked="true" hidden="false"/>
    </xf>
    <xf numFmtId="175" fontId="0" fillId="0" borderId="8" xfId="0" applyFont="true" applyBorder="true" applyAlignment="true" applyProtection="true">
      <alignment horizontal="general" vertical="bottom" textRotation="0" wrapText="false" indent="0" shrinkToFit="false"/>
      <protection locked="true" hidden="false"/>
    </xf>
    <xf numFmtId="172" fontId="0" fillId="0" borderId="8" xfId="0" applyFont="true" applyBorder="true" applyAlignment="true" applyProtection="true">
      <alignment horizontal="general" vertical="bottom" textRotation="0" wrapText="false" indent="0" shrinkToFit="false"/>
      <protection locked="true" hidden="false"/>
    </xf>
    <xf numFmtId="173" fontId="0" fillId="0" borderId="8" xfId="0" applyFont="true" applyBorder="true" applyAlignment="true" applyProtection="true">
      <alignment horizontal="general" vertical="bottom" textRotation="0" wrapText="false" indent="0" shrinkToFit="false"/>
      <protection locked="true" hidden="false"/>
    </xf>
    <xf numFmtId="176" fontId="0" fillId="0" borderId="8" xfId="0" applyFont="true" applyBorder="true" applyAlignment="true" applyProtection="true">
      <alignment horizontal="general" vertical="bottom" textRotation="0" wrapText="false" indent="0" shrinkToFit="false"/>
      <protection locked="true" hidden="false"/>
    </xf>
    <xf numFmtId="177" fontId="0" fillId="0" borderId="8" xfId="0" applyFont="true" applyBorder="true" applyAlignment="true" applyProtection="true">
      <alignment horizontal="general" vertical="bottom" textRotation="0" wrapText="false" indent="0" shrinkToFit="false"/>
      <protection locked="true" hidden="false"/>
    </xf>
    <xf numFmtId="170" fontId="0" fillId="0" borderId="8" xfId="0" applyFont="true" applyBorder="true" applyAlignment="true" applyProtection="true">
      <alignment horizontal="general" vertical="bottom" textRotation="0" wrapText="false" indent="0" shrinkToFit="false"/>
      <protection locked="true" hidden="false"/>
    </xf>
    <xf numFmtId="178" fontId="0" fillId="0" borderId="8" xfId="0" applyFont="true" applyBorder="true" applyAlignment="true" applyProtection="true">
      <alignment horizontal="general" vertical="bottom" textRotation="0" wrapText="false" indent="0" shrinkToFit="false"/>
      <protection locked="true" hidden="false"/>
    </xf>
    <xf numFmtId="179" fontId="0" fillId="0" borderId="8" xfId="0" applyFont="true" applyBorder="true" applyAlignment="true" applyProtection="true">
      <alignment horizontal="general" vertical="bottom" textRotation="0" wrapText="false" indent="0" shrinkToFit="false"/>
      <protection locked="true" hidden="false"/>
    </xf>
    <xf numFmtId="180" fontId="0" fillId="0" borderId="8" xfId="0" applyFont="true" applyBorder="true" applyAlignment="true" applyProtection="true">
      <alignment horizontal="general" vertical="bottom" textRotation="0" wrapText="false" indent="0" shrinkToFit="false"/>
      <protection locked="true" hidden="false"/>
    </xf>
    <xf numFmtId="181" fontId="0" fillId="0" borderId="8"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left" vertical="bottom" textRotation="0" wrapText="false" indent="0" shrinkToFit="false"/>
      <protection locked="true" hidden="false"/>
    </xf>
    <xf numFmtId="173" fontId="0" fillId="0" borderId="0" xfId="0" applyFont="true" applyBorder="false" applyAlignment="true" applyProtection="true">
      <alignment horizontal="general" vertical="bottom" textRotation="0" wrapText="false" indent="0" shrinkToFit="false"/>
      <protection locked="true" hidden="false"/>
    </xf>
    <xf numFmtId="182" fontId="0" fillId="0" borderId="8" xfId="0" applyFont="true" applyBorder="true" applyAlignment="true" applyProtection="true">
      <alignment horizontal="general" vertical="bottom" textRotation="0" wrapText="false" indent="0" shrinkToFit="false"/>
      <protection locked="true" hidden="false"/>
    </xf>
    <xf numFmtId="164" fontId="7" fillId="0" borderId="7" xfId="0" applyFont="true" applyBorder="true" applyAlignment="true" applyProtection="true">
      <alignment horizontal="left" vertical="bottom" textRotation="0" wrapText="false" indent="0" shrinkToFit="false"/>
      <protection locked="true" hidden="false"/>
    </xf>
    <xf numFmtId="182" fontId="7" fillId="0" borderId="8" xfId="0" applyFont="true" applyBorder="tru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general" vertical="bottom" textRotation="0" wrapText="false" indent="0" shrinkToFit="false"/>
      <protection locked="true" hidden="false"/>
    </xf>
    <xf numFmtId="183" fontId="7" fillId="0" borderId="8" xfId="0" applyFont="true" applyBorder="true" applyAlignment="true" applyProtection="true">
      <alignment horizontal="general" vertical="bottom" textRotation="0" wrapText="false" indent="0" shrinkToFit="false"/>
      <protection locked="true" hidden="false"/>
    </xf>
    <xf numFmtId="177" fontId="7" fillId="0" borderId="8" xfId="0" applyFont="true" applyBorder="true" applyAlignment="true" applyProtection="true">
      <alignment horizontal="general" vertical="bottom" textRotation="0" wrapText="false" indent="0" shrinkToFit="false"/>
      <protection locked="true" hidden="false"/>
    </xf>
    <xf numFmtId="167" fontId="7" fillId="0" borderId="8" xfId="0" applyFont="true" applyBorder="true" applyAlignment="true" applyProtection="true">
      <alignment horizontal="general" vertical="bottom" textRotation="0" wrapText="false" indent="0" shrinkToFit="false"/>
      <protection locked="true" hidden="false"/>
    </xf>
    <xf numFmtId="184" fontId="7" fillId="0" borderId="8" xfId="0" applyFont="true" applyBorder="true" applyAlignment="true" applyProtection="true">
      <alignment horizontal="general" vertical="bottom" textRotation="0" wrapText="false" indent="0" shrinkToFit="false"/>
      <protection locked="true" hidden="false"/>
    </xf>
    <xf numFmtId="185" fontId="7" fillId="0" borderId="0" xfId="0" applyFont="true" applyBorder="false" applyAlignment="true" applyProtection="true">
      <alignment horizontal="general" vertical="bottom" textRotation="0" wrapText="false" indent="0" shrinkToFit="false"/>
      <protection locked="true" hidden="false"/>
    </xf>
    <xf numFmtId="185" fontId="7" fillId="0" borderId="8" xfId="0" applyFont="true" applyBorder="true" applyAlignment="true" applyProtection="true">
      <alignment horizontal="general" vertical="bottom" textRotation="0" wrapText="false" indent="0" shrinkToFit="false"/>
      <protection locked="true" hidden="false"/>
    </xf>
    <xf numFmtId="164" fontId="7" fillId="0" borderId="9" xfId="0" applyFont="true" applyBorder="true" applyAlignment="true" applyProtection="true">
      <alignment horizontal="general" vertical="bottom" textRotation="0" wrapText="false" indent="0" shrinkToFit="false"/>
      <protection locked="true" hidden="false"/>
    </xf>
    <xf numFmtId="186" fontId="0"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73"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0" fillId="0" borderId="1" xfId="0" applyFont="true" applyBorder="true" applyAlignment="true" applyProtection="true">
      <alignment horizontal="general" vertical="bottom" textRotation="0" wrapText="false" indent="0" shrinkToFit="false"/>
      <protection locked="true" hidden="false"/>
    </xf>
    <xf numFmtId="187" fontId="0" fillId="0" borderId="0" xfId="0" applyFont="true" applyBorder="false" applyAlignment="true" applyProtection="true">
      <alignment horizontal="general" vertical="bottom" textRotation="0" wrapText="false" indent="0" shrinkToFit="false"/>
      <protection locked="true" hidden="false"/>
    </xf>
    <xf numFmtId="188" fontId="0" fillId="0" borderId="0" xfId="0" applyFont="true" applyBorder="false" applyAlignment="true" applyProtection="true">
      <alignment horizontal="general" vertical="bottom" textRotation="0" wrapText="false" indent="0" shrinkToFit="false"/>
      <protection locked="true" hidden="false"/>
    </xf>
    <xf numFmtId="188"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88" fontId="16"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88" fontId="19" fillId="0" borderId="0" xfId="0" applyFont="true" applyBorder="false" applyAlignment="true" applyProtection="true">
      <alignment horizontal="general" vertical="bottom" textRotation="0" wrapText="false" indent="0" shrinkToFit="false"/>
      <protection locked="true" hidden="false"/>
    </xf>
    <xf numFmtId="188" fontId="0" fillId="0" borderId="0" xfId="0" applyFont="true" applyBorder="false" applyAlignment="true" applyProtection="true">
      <alignment horizontal="general" vertical="bottom"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18" fillId="3" borderId="0" xfId="0" applyFont="true" applyBorder="true" applyAlignment="true" applyProtection="true">
      <alignment horizontal="left" vertical="bottom" textRotation="0" wrapText="true" indent="0" shrinkToFit="false"/>
      <protection locked="true" hidden="false"/>
    </xf>
    <xf numFmtId="164" fontId="18" fillId="3" borderId="0" xfId="0" applyFont="true" applyBorder="true" applyAlignment="true" applyProtection="true">
      <alignment horizontal="center" vertical="bottom" textRotation="0" wrapText="true" indent="0" shrinkToFit="false"/>
      <protection locked="true" hidden="false"/>
    </xf>
    <xf numFmtId="164" fontId="18" fillId="3" borderId="0" xfId="0" applyFont="true" applyBorder="true" applyAlignment="true" applyProtection="true">
      <alignment horizontal="left" vertical="top" textRotation="0" wrapText="false" indent="0" shrinkToFit="false"/>
      <protection locked="true" hidden="false"/>
    </xf>
    <xf numFmtId="167" fontId="18" fillId="3" borderId="0" xfId="0" applyFont="true" applyBorder="true" applyAlignment="true" applyProtection="true">
      <alignment horizontal="general" vertical="center" textRotation="0" wrapText="false" indent="0" shrinkToFit="false"/>
      <protection locked="true" hidden="false"/>
    </xf>
    <xf numFmtId="177" fontId="18" fillId="3" borderId="0" xfId="0" applyFont="true" applyBorder="true" applyAlignment="true" applyProtection="true">
      <alignment horizontal="general" vertical="center" textRotation="0" wrapText="false" indent="0" shrinkToFit="false"/>
      <protection locked="true" hidden="false"/>
    </xf>
    <xf numFmtId="189" fontId="0" fillId="0" borderId="0" xfId="0" applyFont="false" applyBorder="false" applyAlignment="true" applyProtection="true">
      <alignment horizontal="general" vertical="bottom" textRotation="0" wrapText="false" indent="0" shrinkToFit="false"/>
      <protection locked="true" hidden="false"/>
    </xf>
    <xf numFmtId="164" fontId="18" fillId="3" borderId="0" xfId="0" applyFont="true" applyBorder="true" applyAlignment="true" applyProtection="true">
      <alignment horizontal="left" vertical="top" textRotation="0" wrapText="true" indent="0" shrinkToFit="false"/>
      <protection locked="true" hidden="false"/>
    </xf>
    <xf numFmtId="189" fontId="0" fillId="0" borderId="0" xfId="0" applyFont="true" applyBorder="false" applyAlignment="true" applyProtection="true">
      <alignment horizontal="general" vertical="bottom" textRotation="0" wrapText="false" indent="0" shrinkToFit="false"/>
      <protection locked="true" hidden="false"/>
    </xf>
    <xf numFmtId="164" fontId="7" fillId="0" borderId="10" xfId="0" applyFont="true" applyBorder="true" applyAlignment="true" applyProtection="true">
      <alignment horizontal="general" vertical="bottom" textRotation="0" wrapText="true" indent="0" shrinkToFit="false"/>
      <protection locked="true" hidden="false"/>
    </xf>
    <xf numFmtId="164" fontId="7" fillId="0" borderId="9" xfId="0" applyFont="true" applyBorder="true" applyAlignment="true" applyProtection="true">
      <alignment horizontal="general" vertical="bottom" textRotation="0" wrapText="true" indent="0" shrinkToFit="false"/>
      <protection locked="true" hidden="false"/>
    </xf>
    <xf numFmtId="164" fontId="20" fillId="0" borderId="6" xfId="0" applyFont="true" applyBorder="true" applyAlignment="true" applyProtection="true">
      <alignment horizontal="left"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true" indent="0" shrinkToFit="false"/>
      <protection locked="true" hidden="false"/>
    </xf>
    <xf numFmtId="164" fontId="7" fillId="0" borderId="7" xfId="0" applyFont="true" applyBorder="tru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left" vertical="bottom" textRotation="0" wrapText="true" indent="0" shrinkToFit="false"/>
      <protection locked="true" hidden="false"/>
    </xf>
    <xf numFmtId="164" fontId="20" fillId="0" borderId="5" xfId="0" applyFont="true" applyBorder="true" applyAlignment="true" applyProtection="true">
      <alignment horizontal="left" vertical="bottom" textRotation="0" wrapText="true" indent="0" shrinkToFit="false"/>
      <protection locked="true" hidden="false"/>
    </xf>
    <xf numFmtId="164" fontId="7" fillId="0" borderId="5" xfId="0" applyFont="true" applyBorder="true" applyAlignment="true" applyProtection="true">
      <alignment horizontal="general" vertical="bottom" textRotation="0" wrapText="true" indent="0" shrinkToFit="false"/>
      <protection locked="true" hidden="false"/>
    </xf>
    <xf numFmtId="164" fontId="7" fillId="0" borderId="11" xfId="0" applyFont="true" applyBorder="true" applyAlignment="true" applyProtection="true">
      <alignment horizontal="general" vertical="bottom" textRotation="0" wrapText="true" indent="0" shrinkToFit="false"/>
      <protection locked="true" hidden="false"/>
    </xf>
    <xf numFmtId="164" fontId="21" fillId="0" borderId="7" xfId="0" applyFont="true" applyBorder="true" applyAlignment="true" applyProtection="true">
      <alignment horizontal="left" vertical="bottom" textRotation="0" wrapText="true" indent="0" shrinkToFit="false"/>
      <protection locked="true" hidden="false"/>
    </xf>
    <xf numFmtId="189" fontId="21" fillId="0" borderId="8" xfId="0" applyFont="true" applyBorder="true" applyAlignment="true" applyProtection="true">
      <alignment horizontal="right" vertical="bottom" textRotation="0" wrapText="false" indent="0" shrinkToFit="false"/>
      <protection locked="true" hidden="false"/>
    </xf>
    <xf numFmtId="189" fontId="22" fillId="0" borderId="8" xfId="0" applyFont="true" applyBorder="true" applyAlignment="true" applyProtection="true">
      <alignment horizontal="general" vertical="bottom" textRotation="0" wrapText="false" indent="0" shrinkToFit="false"/>
      <protection locked="true" hidden="false"/>
    </xf>
    <xf numFmtId="189" fontId="0" fillId="0" borderId="8"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true" indent="0" shrinkToFit="false"/>
      <protection locked="true" hidden="false"/>
    </xf>
    <xf numFmtId="189" fontId="0" fillId="0" borderId="12" xfId="0" applyFont="tru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true" indent="0" shrinkToFit="false"/>
      <protection locked="true" hidden="false"/>
    </xf>
    <xf numFmtId="189" fontId="0" fillId="0" borderId="14" xfId="0" applyFont="true" applyBorder="true" applyAlignment="true" applyProtection="true">
      <alignment horizontal="general" vertical="bottom" textRotation="0" wrapText="false" indent="0" shrinkToFit="false"/>
      <protection locked="true" hidden="false"/>
    </xf>
    <xf numFmtId="189" fontId="22" fillId="0" borderId="14" xfId="0" applyFont="tru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73" fontId="0" fillId="0" borderId="14"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5"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23" fillId="0" borderId="16" xfId="0" applyFont="true" applyBorder="true" applyAlignment="true" applyProtection="true">
      <alignment horizontal="general" vertical="bottom" textRotation="0" wrapText="tru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86" fontId="0" fillId="0" borderId="0" xfId="0" applyFont="false" applyBorder="false" applyAlignment="true" applyProtection="true">
      <alignment horizontal="general" vertical="bottom" textRotation="0" wrapText="false" indent="0" shrinkToFit="false"/>
      <protection locked="true" hidden="false"/>
    </xf>
    <xf numFmtId="190" fontId="0" fillId="0" borderId="16"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23" fillId="0" borderId="17" xfId="0" applyFont="true" applyBorder="true" applyAlignment="true" applyProtection="true">
      <alignment horizontal="general" vertical="bottom" textRotation="0" wrapText="false" indent="0" shrinkToFit="false"/>
      <protection locked="true" hidden="false"/>
    </xf>
    <xf numFmtId="171" fontId="0" fillId="0" borderId="17"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89" fontId="0" fillId="0" borderId="17" xfId="0" applyFont="false" applyBorder="true" applyAlignment="true" applyProtection="true">
      <alignment horizontal="general" vertical="bottom" textRotation="0" wrapText="false" indent="0" shrinkToFit="false"/>
      <protection locked="true" hidden="false"/>
    </xf>
    <xf numFmtId="186" fontId="0" fillId="0" borderId="17" xfId="0" applyFont="false" applyBorder="true" applyAlignment="true" applyProtection="true">
      <alignment horizontal="general" vertical="bottom" textRotation="0" wrapText="false" indent="0" shrinkToFit="false"/>
      <protection locked="true" hidden="false"/>
    </xf>
    <xf numFmtId="188" fontId="0" fillId="0" borderId="17" xfId="0" applyFont="false" applyBorder="true" applyAlignment="true" applyProtection="true">
      <alignment horizontal="general" vertical="bottom" textRotation="0" wrapText="false" indent="0" shrinkToFit="false"/>
      <protection locked="true" hidden="false"/>
    </xf>
    <xf numFmtId="190" fontId="0" fillId="0" borderId="18" xfId="0" applyFont="false" applyBorder="true" applyAlignment="true" applyProtection="true">
      <alignment horizontal="general" vertical="bottom" textRotation="0" wrapText="false" indent="0" shrinkToFit="false"/>
      <protection locked="true" hidden="false"/>
    </xf>
    <xf numFmtId="164" fontId="24" fillId="0" borderId="17" xfId="0" applyFont="true" applyBorder="true" applyAlignment="true" applyProtection="true">
      <alignment horizontal="general" vertical="bottom" textRotation="0" wrapText="true" indent="0" shrinkToFit="false"/>
      <protection locked="true" hidden="false"/>
    </xf>
    <xf numFmtId="164" fontId="25" fillId="0" borderId="17"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26" fillId="0" borderId="0" xfId="0" applyFont="true" applyBorder="false" applyAlignment="true" applyProtection="true">
      <alignment horizontal="general" vertical="bottom" textRotation="0" wrapText="true" indent="0" shrinkToFit="false"/>
      <protection locked="true" hidden="false"/>
    </xf>
    <xf numFmtId="167" fontId="16"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true" applyAlignment="true" applyProtection="true">
      <alignment horizontal="general" vertical="bottom" textRotation="0" wrapText="true" indent="0" shrinkToFit="false"/>
      <protection locked="true" hidden="false"/>
    </xf>
    <xf numFmtId="172" fontId="16" fillId="0" borderId="0" xfId="0" applyFont="true" applyBorder="false" applyAlignment="true" applyProtection="true">
      <alignment horizontal="general" vertical="bottom" textRotation="0" wrapText="true" indent="0" shrinkToFit="false"/>
      <protection locked="true" hidden="false"/>
    </xf>
    <xf numFmtId="191" fontId="16" fillId="0" borderId="0" xfId="0" applyFont="true" applyBorder="false" applyAlignment="true" applyProtection="true">
      <alignment horizontal="general" vertical="bottom" textRotation="0" wrapText="true" indent="0" shrinkToFit="false"/>
      <protection locked="true" hidden="false"/>
    </xf>
    <xf numFmtId="164" fontId="27" fillId="0" borderId="0" xfId="0" applyFont="true" applyBorder="false" applyAlignment="true" applyProtection="true">
      <alignment horizontal="left" vertical="top" textRotation="0" wrapText="true" indent="0" shrinkToFit="false"/>
      <protection locked="true" hidden="false"/>
    </xf>
    <xf numFmtId="164" fontId="28" fillId="0" borderId="0" xfId="0" applyFont="true" applyBorder="false" applyAlignment="true" applyProtection="true">
      <alignment horizontal="left" vertical="top" textRotation="0" wrapText="false" indent="0" shrinkToFit="false"/>
      <protection locked="true" hidden="false"/>
    </xf>
    <xf numFmtId="164" fontId="28" fillId="0" borderId="0" xfId="0" applyFont="true" applyBorder="false" applyAlignment="true" applyProtection="true">
      <alignment horizontal="left" vertical="top" textRotation="0" wrapText="true" indent="0" shrinkToFit="false"/>
      <protection locked="true" hidden="false"/>
    </xf>
    <xf numFmtId="164" fontId="29" fillId="0" borderId="0" xfId="0" applyFont="true" applyBorder="false" applyAlignment="true" applyProtection="true">
      <alignment horizontal="left" vertical="top" textRotation="0" wrapText="false" indent="0" shrinkToFit="false"/>
      <protection locked="true" hidden="false"/>
    </xf>
    <xf numFmtId="171" fontId="22"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71" fontId="29" fillId="0" borderId="0" xfId="0" applyFont="true" applyBorder="false" applyAlignment="true" applyProtection="true">
      <alignment horizontal="left" vertical="top" textRotation="0" wrapText="false" indent="0" shrinkToFit="false"/>
      <protection locked="true" hidden="false"/>
    </xf>
    <xf numFmtId="171" fontId="28" fillId="0" borderId="0" xfId="0" applyFont="true" applyBorder="false" applyAlignment="true" applyProtection="true">
      <alignment horizontal="left" vertical="top" textRotation="0" wrapText="false" indent="0" shrinkToFit="false"/>
      <protection locked="true" hidden="false"/>
    </xf>
    <xf numFmtId="171" fontId="29" fillId="0" borderId="0" xfId="0" applyFont="true" applyBorder="false" applyAlignment="true" applyProtection="true">
      <alignment horizontal="right" vertical="top" textRotation="0" wrapText="false" indent="0" shrinkToFit="false"/>
      <protection locked="true" hidden="false"/>
    </xf>
    <xf numFmtId="164" fontId="30" fillId="0" borderId="0" xfId="0" applyFont="true" applyBorder="false" applyAlignment="true" applyProtection="true">
      <alignment horizontal="left" vertical="top" textRotation="0" wrapText="false" indent="0" shrinkToFit="false"/>
      <protection locked="true" hidden="false"/>
    </xf>
    <xf numFmtId="167" fontId="29" fillId="0" borderId="0" xfId="0" applyFont="true" applyBorder="false" applyAlignment="true" applyProtection="true">
      <alignment horizontal="right" vertical="top" textRotation="0" wrapText="false" indent="0" shrinkToFit="false"/>
      <protection locked="true" hidden="false"/>
    </xf>
    <xf numFmtId="164" fontId="31" fillId="0" borderId="11" xfId="0" applyFont="true" applyBorder="true" applyAlignment="true" applyProtection="true">
      <alignment horizontal="general" vertical="bottom" textRotation="0" wrapText="true" indent="0" shrinkToFit="false"/>
      <protection locked="true" hidden="false"/>
    </xf>
    <xf numFmtId="164" fontId="7" fillId="0" borderId="19"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92" fontId="0" fillId="0" borderId="20" xfId="0" applyFont="false" applyBorder="true" applyAlignment="true" applyProtection="true">
      <alignment horizontal="general" vertical="bottom" textRotation="0" wrapText="false" indent="0" shrinkToFit="false"/>
      <protection locked="true" hidden="false"/>
    </xf>
    <xf numFmtId="192" fontId="0" fillId="0" borderId="0" xfId="0" applyFont="true" applyBorder="false" applyAlignment="true" applyProtection="true">
      <alignment horizontal="general" vertical="bottom" textRotation="0" wrapText="false" indent="0" shrinkToFit="false"/>
      <protection locked="true" hidden="false"/>
    </xf>
    <xf numFmtId="192" fontId="0" fillId="0" borderId="0" xfId="0" applyFont="false" applyBorder="false" applyAlignment="true" applyProtection="true">
      <alignment horizontal="general" vertical="bottom" textRotation="0" wrapText="false" indent="0" shrinkToFit="false"/>
      <protection locked="true" hidden="false"/>
    </xf>
    <xf numFmtId="192" fontId="0" fillId="0" borderId="0" xfId="0" applyFont="true" applyBorder="false" applyAlignment="true" applyProtection="true">
      <alignment horizontal="general" vertical="bottom" textRotation="0" wrapText="true" indent="0" shrinkToFit="false"/>
      <protection locked="true" hidden="false"/>
    </xf>
    <xf numFmtId="189" fontId="10" fillId="0" borderId="14"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true" indent="0" shrinkToFit="false"/>
      <protection locked="true" hidden="false"/>
    </xf>
    <xf numFmtId="171" fontId="20" fillId="0" borderId="0" xfId="0" applyFont="true" applyBorder="false" applyAlignment="true" applyProtection="true">
      <alignment horizontal="left"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21" fillId="0" borderId="4" xfId="0" applyFont="true" applyBorder="true" applyAlignment="true" applyProtection="true">
      <alignment horizontal="left" vertical="bottom" textRotation="0" wrapText="false" indent="0" shrinkToFit="false"/>
      <protection locked="true" hidden="false"/>
    </xf>
    <xf numFmtId="171" fontId="20" fillId="0" borderId="5" xfId="0" applyFont="true" applyBorder="true" applyAlignment="true" applyProtection="true">
      <alignment horizontal="left" vertical="bottom" textRotation="0" wrapText="false" indent="0" shrinkToFit="false"/>
      <protection locked="true" hidden="false"/>
    </xf>
    <xf numFmtId="167" fontId="7" fillId="0" borderId="21" xfId="0" applyFont="true" applyBorder="true" applyAlignment="true" applyProtection="true">
      <alignment horizontal="general" vertical="bottom" textRotation="0" wrapText="false" indent="0" shrinkToFit="false"/>
      <protection locked="true" hidden="false"/>
    </xf>
    <xf numFmtId="164" fontId="21" fillId="0" borderId="7" xfId="0" applyFont="true" applyBorder="true" applyAlignment="true" applyProtection="true">
      <alignment horizontal="left" vertical="bottom" textRotation="0" wrapText="false" indent="0" shrinkToFit="false"/>
      <protection locked="true" hidden="false"/>
    </xf>
    <xf numFmtId="167" fontId="33" fillId="0" borderId="22" xfId="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33" fillId="0" borderId="23" xfId="0" applyFont="true" applyBorder="true" applyAlignment="true" applyProtection="true">
      <alignment horizontal="general" vertical="bottom" textRotation="0" wrapText="false" indent="0" shrinkToFit="false"/>
      <protection locked="true" hidden="false"/>
    </xf>
    <xf numFmtId="193" fontId="0" fillId="0" borderId="16" xfId="0" applyFont="true" applyBorder="true" applyAlignment="true" applyProtection="true">
      <alignment horizontal="general" vertical="bottom" textRotation="0" wrapText="true" indent="0" shrinkToFit="false"/>
      <protection locked="true" hidden="false"/>
    </xf>
    <xf numFmtId="194" fontId="0" fillId="0" borderId="16" xfId="0" applyFont="true" applyBorder="true" applyAlignment="true" applyProtection="true">
      <alignment horizontal="general" vertical="bottom" textRotation="0" wrapText="true" indent="0" shrinkToFit="false"/>
      <protection locked="true" hidden="false"/>
    </xf>
    <xf numFmtId="167" fontId="33" fillId="0" borderId="22" xfId="0" applyFont="true" applyBorder="true" applyAlignment="true" applyProtection="true">
      <alignment horizontal="general" vertical="bottom" textRotation="0" wrapText="true" indent="0" shrinkToFit="false"/>
      <protection locked="true" hidden="false"/>
    </xf>
    <xf numFmtId="164" fontId="7" fillId="0" borderId="24" xfId="0" applyFont="true" applyBorder="true" applyAlignment="true" applyProtection="true">
      <alignment horizontal="general" vertical="bottom" textRotation="0" wrapText="false" indent="0" shrinkToFit="false"/>
      <protection locked="true" hidden="false"/>
    </xf>
    <xf numFmtId="164" fontId="20" fillId="0" borderId="7" xfId="0" applyFont="true" applyBorder="true" applyAlignment="true" applyProtection="true">
      <alignment horizontal="left" vertical="bottom" textRotation="0" wrapText="false" indent="0" shrinkToFit="false"/>
      <protection locked="true" hidden="false"/>
    </xf>
    <xf numFmtId="175" fontId="0" fillId="0" borderId="16" xfId="0" applyFont="true" applyBorder="true" applyAlignment="true" applyProtection="true">
      <alignment horizontal="general" vertical="bottom" textRotation="0" wrapText="true" indent="0" shrinkToFit="false"/>
      <protection locked="true" hidden="false"/>
    </xf>
    <xf numFmtId="195" fontId="0" fillId="0" borderId="16" xfId="0" applyFont="true" applyBorder="true" applyAlignment="true" applyProtection="true">
      <alignment horizontal="general" vertical="bottom" textRotation="0" wrapText="true" indent="0" shrinkToFit="false"/>
      <protection locked="true" hidden="false"/>
    </xf>
    <xf numFmtId="194" fontId="0" fillId="0" borderId="16" xfId="0" applyFont="false" applyBorder="true" applyAlignment="true" applyProtection="true">
      <alignment horizontal="general" vertical="bottom" textRotation="0" wrapText="false" indent="0" shrinkToFit="false"/>
      <protection locked="true" hidden="false"/>
    </xf>
    <xf numFmtId="196" fontId="0" fillId="0" borderId="16" xfId="0" applyFont="false" applyBorder="true" applyAlignment="true" applyProtection="true">
      <alignment horizontal="general" vertical="bottom" textRotation="0" wrapText="false" indent="0" shrinkToFit="false"/>
      <protection locked="true" hidden="false"/>
    </xf>
    <xf numFmtId="196" fontId="7" fillId="0" borderId="16" xfId="0" applyFont="true" applyBorder="true" applyAlignment="true" applyProtection="true">
      <alignment horizontal="general" vertical="bottom" textRotation="0" wrapText="false" indent="0" shrinkToFit="false"/>
      <protection locked="true" hidden="false"/>
    </xf>
    <xf numFmtId="164" fontId="20" fillId="0" borderId="13" xfId="0" applyFont="true" applyBorder="true" applyAlignment="true" applyProtection="true">
      <alignment horizontal="left" vertical="bottom" textRotation="0" wrapText="false" indent="0" shrinkToFit="false"/>
      <protection locked="true" hidden="false"/>
    </xf>
    <xf numFmtId="196" fontId="7" fillId="0" borderId="25" xfId="0" applyFont="true" applyBorder="true" applyAlignment="true" applyProtection="true">
      <alignment horizontal="general" vertical="bottom" textRotation="0" wrapText="false" indent="0" shrinkToFit="false"/>
      <protection locked="true" hidden="false"/>
    </xf>
    <xf numFmtId="164" fontId="0" fillId="0" borderId="26" xfId="0" applyFont="false" applyBorder="true" applyAlignment="true" applyProtection="true">
      <alignment horizontal="general" vertical="bottom" textRotation="0" wrapText="true" indent="0" shrinkToFit="false"/>
      <protection locked="true" hidden="false"/>
    </xf>
    <xf numFmtId="164" fontId="0" fillId="0" borderId="26" xfId="0" applyFont="false" applyBorder="true" applyAlignment="true" applyProtection="true">
      <alignment horizontal="general" vertical="bottom" textRotation="0" wrapText="false" indent="0" shrinkToFit="false"/>
      <protection locked="true" hidden="false"/>
    </xf>
    <xf numFmtId="167" fontId="33" fillId="0" borderId="27" xfId="0"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7" fillId="0" borderId="21" xfId="0" applyFont="true" applyBorder="true" applyAlignment="true" applyProtection="true">
      <alignment horizontal="general" vertical="bottom" textRotation="0" wrapText="true" indent="0" shrinkToFit="false"/>
      <protection locked="true" hidden="false"/>
    </xf>
    <xf numFmtId="178" fontId="0" fillId="0" borderId="8" xfId="0" applyFont="true" applyBorder="true" applyAlignment="true" applyProtection="true">
      <alignment horizontal="right" vertical="bottom" textRotation="0" wrapText="false" indent="0" shrinkToFit="false"/>
      <protection locked="true" hidden="false"/>
    </xf>
    <xf numFmtId="191" fontId="0" fillId="0" borderId="8" xfId="0" applyFont="true" applyBorder="true" applyAlignment="true" applyProtection="true">
      <alignment horizontal="general" vertical="bottom" textRotation="0" wrapText="false" indent="0" shrinkToFit="false"/>
      <protection locked="true" hidden="false"/>
    </xf>
    <xf numFmtId="197" fontId="0" fillId="0" borderId="8" xfId="0" applyFont="true" applyBorder="true" applyAlignment="true" applyProtection="true">
      <alignment horizontal="right" vertical="bottom" textRotation="0" wrapText="false" indent="0" shrinkToFit="false"/>
      <protection locked="true" hidden="false"/>
    </xf>
    <xf numFmtId="197" fontId="0" fillId="0" borderId="8" xfId="0" applyFont="true" applyBorder="true" applyAlignment="true" applyProtection="true">
      <alignment horizontal="general" vertical="bottom" textRotation="0" wrapText="false" indent="0" shrinkToFit="false"/>
      <protection locked="true" hidden="false"/>
    </xf>
    <xf numFmtId="171" fontId="0" fillId="0" borderId="8" xfId="0" applyFont="true" applyBorder="true" applyAlignment="true" applyProtection="true">
      <alignment horizontal="general" vertical="bottom" textRotation="0" wrapText="false" indent="0" shrinkToFit="false"/>
      <protection locked="true" hidden="false"/>
    </xf>
    <xf numFmtId="180" fontId="0" fillId="0" borderId="22"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right" vertical="bottom" textRotation="0" wrapText="false" indent="0" shrinkToFit="false"/>
      <protection locked="true" hidden="false"/>
    </xf>
    <xf numFmtId="195" fontId="0" fillId="0" borderId="8"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64" fontId="0" fillId="0" borderId="28"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true" applyBorder="false" applyAlignment="true" applyProtection="true">
      <alignment horizontal="righ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79" fontId="0" fillId="0" borderId="0" xfId="0" applyFont="true" applyBorder="false" applyAlignment="true" applyProtection="true">
      <alignment horizontal="right" vertical="bottom" textRotation="0" wrapText="false" indent="0" shrinkToFit="false"/>
      <protection locked="true" hidden="false"/>
    </xf>
    <xf numFmtId="179"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97" fontId="22" fillId="0" borderId="0" xfId="0" applyFont="true" applyBorder="false" applyAlignment="true" applyProtection="true">
      <alignment horizontal="right" vertical="bottom" textRotation="0" wrapText="false" indent="0" shrinkToFit="false"/>
      <protection locked="true" hidden="false"/>
    </xf>
    <xf numFmtId="198" fontId="0" fillId="0" borderId="0" xfId="0" applyFont="true" applyBorder="false" applyAlignment="true" applyProtection="true">
      <alignment horizontal="general" vertical="bottom" textRotation="0" wrapText="false" indent="0" shrinkToFit="false"/>
      <protection locked="true" hidden="false"/>
    </xf>
    <xf numFmtId="197" fontId="0" fillId="0" borderId="0" xfId="0" applyFont="true" applyBorder="false" applyAlignment="true" applyProtection="true">
      <alignment horizontal="right" vertical="bottom" textRotation="0" wrapText="false" indent="0" shrinkToFit="false"/>
      <protection locked="true" hidden="false"/>
    </xf>
    <xf numFmtId="164" fontId="0" fillId="0" borderId="8" xfId="0" applyFont="true" applyBorder="true" applyAlignment="true" applyProtection="true">
      <alignment horizontal="left" vertical="center" textRotation="0" wrapText="true" indent="0" shrinkToFit="false"/>
      <protection locked="true" hidden="false"/>
    </xf>
    <xf numFmtId="180" fontId="0" fillId="0" borderId="0" xfId="0" applyFont="true" applyBorder="false" applyAlignment="true" applyProtection="true">
      <alignment horizontal="right" vertical="bottom" textRotation="0" wrapText="false" indent="0" shrinkToFit="false"/>
      <protection locked="true" hidden="false"/>
    </xf>
    <xf numFmtId="197" fontId="0" fillId="0" borderId="0" xfId="0" applyFont="true" applyBorder="false" applyAlignment="true" applyProtection="true">
      <alignment horizontal="general" vertical="bottom" textRotation="0" wrapText="false" indent="0" shrinkToFit="false"/>
      <protection locked="true" hidden="false"/>
    </xf>
    <xf numFmtId="180" fontId="0" fillId="0" borderId="0" xfId="0" applyFont="true" applyBorder="false" applyAlignment="true" applyProtection="true">
      <alignment horizontal="general" vertical="bottom" textRotation="0" wrapText="false" indent="0" shrinkToFit="false"/>
      <protection locked="true" hidden="false"/>
    </xf>
    <xf numFmtId="199" fontId="0" fillId="0" borderId="0" xfId="0" applyFont="true" applyBorder="false" applyAlignment="true" applyProtection="true">
      <alignment horizontal="right" vertical="bottom" textRotation="0" wrapText="false" indent="0" shrinkToFit="false"/>
      <protection locked="true" hidden="false"/>
    </xf>
    <xf numFmtId="188" fontId="0" fillId="0" borderId="0" xfId="0" applyFont="true" applyBorder="false" applyAlignment="true" applyProtection="true">
      <alignment horizontal="right"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78" fontId="16" fillId="0" borderId="0" xfId="0" applyFont="true" applyBorder="false" applyAlignment="true" applyProtection="true">
      <alignment horizontal="general" vertical="bottom" textRotation="0" wrapText="true" indent="0" shrinkToFit="false"/>
      <protection locked="true" hidden="false"/>
    </xf>
    <xf numFmtId="178" fontId="0" fillId="0" borderId="0" xfId="0" applyFont="true" applyBorder="false" applyAlignment="true" applyProtection="true">
      <alignment horizontal="general" vertical="bottom" textRotation="0" wrapText="false" indent="0" shrinkToFit="false"/>
      <protection locked="true" hidden="false"/>
    </xf>
    <xf numFmtId="197" fontId="2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91" fontId="0" fillId="0" borderId="0" xfId="0" applyFont="true" applyBorder="false" applyAlignment="true" applyProtection="true">
      <alignment horizontal="general" vertical="bottom" textRotation="0" wrapText="false" indent="0" shrinkToFit="false"/>
      <protection locked="true" hidden="false"/>
    </xf>
    <xf numFmtId="200" fontId="0"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true" applyBorder="false" applyAlignment="true" applyProtection="true">
      <alignment horizontal="general" vertical="bottom" textRotation="0" wrapText="false" indent="0" shrinkToFit="false"/>
      <protection locked="true" hidden="false"/>
    </xf>
    <xf numFmtId="193" fontId="0"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true" applyBorder="false" applyAlignment="true" applyProtection="true">
      <alignment horizontal="general"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9" fontId="29" fillId="0" borderId="0" xfId="0" applyFont="true" applyBorder="false" applyAlignment="true" applyProtection="true">
      <alignment horizontal="left" vertical="top" textRotation="0" wrapText="false" indent="0" shrinkToFit="false"/>
      <protection locked="true" hidden="false"/>
    </xf>
    <xf numFmtId="166" fontId="0" fillId="0" borderId="1" xfId="0" applyFont="true" applyBorder="true" applyAlignment="true" applyProtection="true">
      <alignment horizontal="general" vertical="bottom" textRotation="0" wrapText="true" indent="0" shrinkToFit="false"/>
      <protection locked="true" hidden="false"/>
    </xf>
    <xf numFmtId="200" fontId="0" fillId="0" borderId="0" xfId="0" applyFont="false" applyBorder="false" applyAlignment="true" applyProtection="true">
      <alignment horizontal="general" vertical="bottom" textRotation="0" wrapText="false" indent="0" shrinkToFit="false"/>
      <protection locked="true" hidden="false"/>
    </xf>
    <xf numFmtId="201" fontId="0" fillId="0" borderId="0" xfId="0" applyFont="false" applyBorder="false" applyAlignment="true" applyProtection="true">
      <alignment horizontal="general" vertical="bottom" textRotation="0" wrapText="false" indent="0" shrinkToFit="false"/>
      <protection locked="true" hidden="false"/>
    </xf>
    <xf numFmtId="202" fontId="0" fillId="0" borderId="0" xfId="0" applyFont="false" applyBorder="false" applyAlignment="true" applyProtection="true">
      <alignment horizontal="general" vertical="bottom" textRotation="0" wrapText="false" indent="0" shrinkToFit="false"/>
      <protection locked="true" hidden="false"/>
    </xf>
    <xf numFmtId="201" fontId="0" fillId="0" borderId="8" xfId="0" applyFont="true" applyBorder="true" applyAlignment="true" applyProtection="true">
      <alignment horizontal="general" vertical="bottom" textRotation="0" wrapText="false" indent="0" shrinkToFit="false"/>
      <protection locked="true" hidden="false"/>
    </xf>
    <xf numFmtId="203" fontId="0" fillId="0"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mtredsu"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BBC04"/>
      <rgbColor rgb="FFFF9900"/>
      <rgbColor rgb="FFFF6600"/>
      <rgbColor rgb="FF666699"/>
      <rgbColor rgb="FF969696"/>
      <rgbColor rgb="FF003366"/>
      <rgbColor rgb="FF339966"/>
      <rgbColor rgb="FF111111"/>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academia.edu/114405679/Generation_of_an_Industry_specific_Physico_chemical_Allocation_Matrix_Application_in_the_Dairy_Industry_and_Implications_for_Systems_Analysis_9_pp_?uc-g-sw=105566008"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elfarefootprint.org/welfare-of-farmed-fish/" TargetMode="External"/><Relationship Id="rId3" Type="http://schemas.openxmlformats.org/officeDocument/2006/relationships/hyperlink" Target="https://g.co/gemini/share/774fdafc8144" TargetMode="External"/><Relationship Id="rId4" Type="http://schemas.openxmlformats.org/officeDocument/2006/relationships/hyperlink" Target="https://www.science.org/doi/10.1126/sciadv.adn9698" TargetMode="External"/><Relationship Id="rId5" Type="http://schemas.openxmlformats.org/officeDocument/2006/relationships/hyperlink" Target="https://edis.ifas.ufl.edu/sg078" TargetMode="External"/><Relationship Id="rId6" Type="http://schemas.openxmlformats.org/officeDocument/2006/relationships/hyperlink" Target="http://animaldiversity.org/accounts/Chionoecetes_opilio/" TargetMode="External"/><Relationship Id="rId7" Type="http://schemas.openxmlformats.org/officeDocument/2006/relationships/hyperlink" Target="https://caseagrant.ucsd.edu/seafood-profiles/dungeness-crab" TargetMode="External"/><Relationship Id="rId8" Type="http://schemas.openxmlformats.org/officeDocument/2006/relationships/hyperlink" Target="https://www.alaskankingcrab.com/blogs/resources/blog-learn-the-anatomy-of-alaskan-king-crab" TargetMode="External"/><Relationship Id="rId9"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hyperlink" Target="https://g.co/gemini/share/504d9496e46c" TargetMode="External"/><Relationship Id="rId2" Type="http://schemas.openxmlformats.org/officeDocument/2006/relationships/hyperlink" Target="https://www.science.org/doi/10.1126/sciadv.adn5650" TargetMode="External"/><Relationship Id="rId3" Type="http://schemas.openxmlformats.org/officeDocument/2006/relationships/hyperlink" Target="https://ourworldindata.org/do-better-cages-or-cage-free-environments-really-improve-the-lives-of-hens" TargetMode="Externa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aphis.usda.gov/animal_health/emergency_management/downloads/documents_manuals/poultry_ind_manual.pd" TargetMode="External"/><Relationship Id="rId3" Type="http://schemas.openxmlformats.org/officeDocument/2006/relationships/hyperlink" Target="https://thepoultrysite.com/articles/mortality-patterns-associated-with-commercial-broiler-production" TargetMode="External"/><Relationship Id="rId4" Type="http://schemas.openxmlformats.org/officeDocument/2006/relationships/hyperlink" Target="http://www.fao.org/3/Y4628E/y4628e03.htm" TargetMode="External"/><Relationship Id="rId5" Type="http://schemas.openxmlformats.org/officeDocument/2006/relationships/hyperlink" Target="https://www.aphis.usda.gov/animal_health/nahms/poultry/downloads/layers2013/Layers2013_dr_PartI.pdf" TargetMode="External"/><Relationship Id="rId6" Type="http://schemas.openxmlformats.org/officeDocument/2006/relationships/hyperlink" Target="https://www.nrcs.usda.gov/Internet/FSE_DOCUMENTS/nrcseprd380437.pdf" TargetMode="External"/><Relationship Id="rId7" Type="http://schemas.openxmlformats.org/officeDocument/2006/relationships/hyperlink" Target="https://www.sciencedirect.com/science/article/pii/S0032579119310636" TargetMode="External"/><Relationship Id="rId8" Type="http://schemas.openxmlformats.org/officeDocument/2006/relationships/hyperlink" Target="https://www.aphis.usda.gov/animal_health/emergency_management/downloads/documents_manuals/poultry_ind_manual.pdf" TargetMode="External"/><Relationship Id="rId9" Type="http://schemas.openxmlformats.org/officeDocument/2006/relationships/hyperlink" Target="https://www.aphis.usda.gov/animal_health/emergency_management/downloads/documents_manuals/poultry_ind_manual.pdf" TargetMode="External"/><Relationship Id="rId10" Type="http://schemas.openxmlformats.org/officeDocument/2006/relationships/hyperlink" Target="https://www.aphis.usda.gov/animal_health/nahms/swine/downloads/swine2012/Swine2012_dr_PartI.pdf" TargetMode="External"/><Relationship Id="rId11" Type="http://schemas.openxmlformats.org/officeDocument/2006/relationships/hyperlink" Target="https://www.nrcs.usda.gov/Internet/FSE_DOCUMENTS/nrcseprd380437.pdf" TargetMode="External"/><Relationship Id="rId12" Type="http://schemas.openxmlformats.org/officeDocument/2006/relationships/hyperlink" Target="https://www.aphis.usda.gov/animal_health/nahms/general/downloads/cattle_calves_deathloss_2015.pdf" TargetMode="External"/><Relationship Id="rId13" Type="http://schemas.openxmlformats.org/officeDocument/2006/relationships/hyperlink" Target="https://www.aphis.usda.gov/animal_health/nahms/dairy/downloads/dairy14/Dairy14_dr_PartIII.pdf" TargetMode="External"/><Relationship Id="rId14" Type="http://schemas.openxmlformats.org/officeDocument/2006/relationships/hyperlink" Target="https://www.nass.usda.gov/Newsroom/2024/01-31-2024.php" TargetMode="External"/><Relationship Id="rId15" Type="http://schemas.openxmlformats.org/officeDocument/2006/relationships/hyperlink" Target="https://g.co/gemini/share/b647bad7427a" TargetMode="External"/><Relationship Id="rId16" Type="http://schemas.openxmlformats.org/officeDocument/2006/relationships/hyperlink" Target="https://www.researchgate.net/publication/332821645_Quantifying_calf_mortality_on_dairy_farms_Challenges_and_solutions" TargetMode="External"/><Relationship Id="rId17" Type="http://schemas.openxmlformats.org/officeDocument/2006/relationships/hyperlink" Target="https://www.journalofdairyscience.org/action/showPdf?pii=S0022-0302(20)30033-3" TargetMode="External"/><Relationship Id="rId18" Type="http://schemas.openxmlformats.org/officeDocument/2006/relationships/hyperlink" Target="https://www.aphis.usda.gov/sites/default/files/goat_kid_deathloss_2015.pdf" TargetMode="External"/><Relationship Id="rId19"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hyperlink" Target="https://extension.sdstate.edu/how-much-meat-can-you-expect-fed-steer" TargetMode="External"/><Relationship Id="rId2" Type="http://schemas.openxmlformats.org/officeDocument/2006/relationships/hyperlink" Target="https://livestock.extension.wisc.edu/articles/how-much-meat-should-a-hog-yield/" TargetMode="External"/><Relationship Id="rId3" Type="http://schemas.openxmlformats.org/officeDocument/2006/relationships/hyperlink" Target="https://www.ams.usda.gov/sites/default/files/media/QAD%20635%20-%20Standard%20Yield.pdf" TargetMode="External"/><Relationship Id="rId4" Type="http://schemas.openxmlformats.org/officeDocument/2006/relationships/hyperlink" Target="https://www.ams.usda.gov/sites/default/files/media/QAD%20635%20-%20Standard%20Yield.pdf" TargetMode="External"/><Relationship Id="rId5" Type="http://schemas.openxmlformats.org/officeDocument/2006/relationships/hyperlink" Target="https://livestock.extension.wisc.edu/articles/how-much-meat-should-a-lamb-yield/" TargetMode="External"/><Relationship Id="rId6" Type="http://schemas.openxmlformats.org/officeDocument/2006/relationships/hyperlink" Target="https://livestock.extension.wisc.edu/articles/how-much-meat-should-a-lamb-yield/" TargetMode="External"/><Relationship Id="rId7" Type="http://schemas.openxmlformats.org/officeDocument/2006/relationships/hyperlink" Target="https://ers.usda.gov/sites/default/files/_laserfiche/DataFiles/50472/meat.xls?v=74023" TargetMode="External"/><Relationship Id="rId8" Type="http://schemas.openxmlformats.org/officeDocument/2006/relationships/hyperlink" Target="https://www.fao.org/faostat/en/" TargetMode="Externa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8"/>
  <sheetViews>
    <sheetView showFormulas="false" showGridLines="true" showRowColHeaders="true" showZeros="true" rightToLeft="false" tabSelected="false" showOutlineSymbols="true" defaultGridColor="true" view="normal" topLeftCell="A249" colorId="64" zoomScale="100" zoomScaleNormal="100" zoomScalePageLayoutView="100" workbookViewId="0">
      <selection pane="topLeft" activeCell="C248" activeCellId="0" sqref="C248"/>
    </sheetView>
  </sheetViews>
  <sheetFormatPr defaultColWidth="12.61328125" defaultRowHeight="15" customHeight="true" zeroHeight="false" outlineLevelRow="0" outlineLevelCol="0"/>
  <cols>
    <col collapsed="false" customWidth="true" hidden="false" outlineLevel="0" max="1" min="1" style="1" width="136.1"/>
    <col collapsed="false" customWidth="true" hidden="false" outlineLevel="0" max="26" min="2" style="1" width="14.52"/>
  </cols>
  <sheetData>
    <row r="1" customFormat="false" ht="12.8"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3" t="s">
        <v>0</v>
      </c>
      <c r="B2" s="2"/>
      <c r="C2" s="2"/>
      <c r="D2" s="2"/>
      <c r="E2" s="2"/>
      <c r="F2" s="2"/>
      <c r="G2" s="2"/>
      <c r="H2" s="2"/>
      <c r="I2" s="2"/>
      <c r="J2" s="2"/>
      <c r="K2" s="2"/>
      <c r="L2" s="2"/>
      <c r="M2" s="2"/>
      <c r="N2" s="2"/>
      <c r="O2" s="2"/>
      <c r="P2" s="2"/>
      <c r="Q2" s="2"/>
      <c r="R2" s="2"/>
      <c r="S2" s="2"/>
      <c r="T2" s="2"/>
      <c r="U2" s="2"/>
      <c r="V2" s="2"/>
      <c r="W2" s="2"/>
      <c r="X2" s="2"/>
      <c r="Y2" s="2"/>
      <c r="Z2" s="2"/>
    </row>
    <row r="3" customFormat="false" ht="12.8"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2.8" hidden="false" customHeight="true" outlineLevel="0" collapsed="false">
      <c r="A4" s="4" t="s">
        <v>1</v>
      </c>
      <c r="B4" s="2"/>
      <c r="C4" s="2"/>
      <c r="D4" s="2"/>
      <c r="E4" s="2"/>
      <c r="F4" s="2"/>
      <c r="G4" s="2"/>
      <c r="H4" s="2"/>
      <c r="I4" s="2"/>
      <c r="J4" s="2"/>
      <c r="K4" s="2"/>
      <c r="L4" s="2"/>
      <c r="M4" s="2"/>
      <c r="N4" s="2"/>
      <c r="O4" s="2"/>
      <c r="P4" s="2"/>
      <c r="Q4" s="2"/>
      <c r="R4" s="2"/>
      <c r="S4" s="2"/>
      <c r="T4" s="2"/>
      <c r="U4" s="2"/>
      <c r="V4" s="2"/>
      <c r="W4" s="2"/>
      <c r="X4" s="2"/>
      <c r="Y4" s="2"/>
      <c r="Z4" s="2"/>
    </row>
    <row r="5" customFormat="false" ht="12.8" hidden="false" customHeight="tru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4.15" hidden="false" customHeight="true" outlineLevel="0" collapsed="false">
      <c r="A6" s="5" t="s">
        <v>2</v>
      </c>
      <c r="B6" s="2"/>
      <c r="C6" s="2"/>
      <c r="D6" s="2"/>
      <c r="E6" s="2"/>
      <c r="F6" s="2"/>
      <c r="G6" s="2"/>
      <c r="H6" s="2"/>
      <c r="I6" s="2"/>
      <c r="J6" s="2"/>
      <c r="K6" s="2"/>
      <c r="L6" s="2"/>
      <c r="M6" s="2"/>
      <c r="N6" s="2"/>
      <c r="O6" s="2"/>
      <c r="P6" s="2"/>
      <c r="Q6" s="2"/>
      <c r="R6" s="2"/>
      <c r="S6" s="2"/>
      <c r="T6" s="2"/>
      <c r="U6" s="2"/>
      <c r="V6" s="2"/>
      <c r="W6" s="2"/>
      <c r="X6" s="2"/>
      <c r="Y6" s="2"/>
      <c r="Z6" s="2"/>
    </row>
    <row r="7" customFormat="false" ht="12.8"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23.85" hidden="false" customHeight="true" outlineLevel="0" collapsed="false">
      <c r="A8" s="6" t="s">
        <v>3</v>
      </c>
      <c r="B8" s="2"/>
      <c r="C8" s="2"/>
      <c r="D8" s="2"/>
      <c r="E8" s="2"/>
      <c r="F8" s="2"/>
      <c r="G8" s="2"/>
      <c r="H8" s="2"/>
      <c r="I8" s="2"/>
      <c r="J8" s="2"/>
      <c r="K8" s="2"/>
      <c r="L8" s="2"/>
      <c r="M8" s="2"/>
      <c r="N8" s="2"/>
      <c r="O8" s="2"/>
      <c r="P8" s="2"/>
      <c r="Q8" s="2"/>
      <c r="R8" s="2"/>
      <c r="S8" s="2"/>
      <c r="T8" s="2"/>
      <c r="U8" s="2"/>
      <c r="V8" s="2"/>
      <c r="W8" s="2"/>
      <c r="X8" s="2"/>
      <c r="Y8" s="2"/>
      <c r="Z8" s="2"/>
    </row>
    <row r="9" customFormat="false" ht="12.8" hidden="false" customHeight="tru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23.85" hidden="false" customHeight="true" outlineLevel="0" collapsed="false">
      <c r="A10" s="6" t="s">
        <v>4</v>
      </c>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2.8"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2.8" hidden="false" customHeight="true" outlineLevel="0" collapsed="false">
      <c r="A12" s="6" t="s">
        <v>5</v>
      </c>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2.8"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35.05" hidden="false" customHeight="true" outlineLevel="0" collapsed="false">
      <c r="A14" s="6" t="s">
        <v>6</v>
      </c>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2.8"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2.8" hidden="false" customHeight="true" outlineLevel="0" collapsed="false">
      <c r="A16" s="6" t="s">
        <v>7</v>
      </c>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2.8"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2.8" hidden="false" customHeight="true" outlineLevel="0" collapsed="false">
      <c r="A18" s="6" t="s">
        <v>8</v>
      </c>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6"/>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6" t="s">
        <v>9</v>
      </c>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6" t="s">
        <v>10</v>
      </c>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t="s">
        <v>11</v>
      </c>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t="s">
        <v>12</v>
      </c>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1328125" defaultRowHeight="15" customHeight="true" zeroHeight="false" outlineLevelRow="0" outlineLevelCol="0"/>
  <cols>
    <col collapsed="false" customWidth="true" hidden="false" outlineLevel="0" max="1" min="1" style="1" width="35.45"/>
    <col collapsed="false" customWidth="true" hidden="false" outlineLevel="0" max="2" min="2" style="1" width="21.43"/>
    <col collapsed="false" customWidth="true" hidden="false" outlineLevel="0" max="3" min="3" style="1" width="20.83"/>
    <col collapsed="false" customWidth="true" hidden="false" outlineLevel="0" max="4" min="4" style="1" width="14.52"/>
    <col collapsed="false" customWidth="true" hidden="false" outlineLevel="0" max="5" min="5" style="1" width="18.79"/>
    <col collapsed="false" customWidth="true" hidden="false" outlineLevel="0" max="6" min="6" style="1" width="24.33"/>
    <col collapsed="false" customWidth="true" hidden="false" outlineLevel="0" max="25" min="7" style="1" width="14.52"/>
  </cols>
  <sheetData>
    <row r="1" customFormat="false" ht="15.75" hidden="false" customHeight="true" outlineLevel="0" collapsed="false">
      <c r="A1" s="7" t="s">
        <v>13</v>
      </c>
      <c r="B1" s="7"/>
      <c r="C1" s="8"/>
      <c r="D1" s="2"/>
      <c r="E1" s="2"/>
      <c r="F1" s="2"/>
      <c r="G1" s="9"/>
      <c r="H1" s="2"/>
      <c r="I1" s="2"/>
      <c r="J1" s="2"/>
      <c r="K1" s="9"/>
      <c r="L1" s="9"/>
      <c r="M1" s="9"/>
      <c r="N1" s="9"/>
      <c r="O1" s="2"/>
      <c r="P1" s="2"/>
      <c r="Q1" s="2"/>
      <c r="R1" s="2"/>
      <c r="S1" s="2"/>
      <c r="T1" s="2"/>
      <c r="U1" s="2"/>
      <c r="V1" s="2"/>
      <c r="W1" s="2"/>
      <c r="X1" s="2"/>
      <c r="Y1" s="2"/>
    </row>
    <row r="2" customFormat="false" ht="54.45" hidden="false" customHeight="true" outlineLevel="0" collapsed="false">
      <c r="A2" s="10" t="s">
        <v>14</v>
      </c>
      <c r="B2" s="10" t="s">
        <v>15</v>
      </c>
      <c r="C2" s="10" t="s">
        <v>16</v>
      </c>
      <c r="D2" s="11"/>
      <c r="E2" s="10" t="s">
        <v>17</v>
      </c>
      <c r="F2" s="10" t="s">
        <v>18</v>
      </c>
      <c r="G2" s="11"/>
      <c r="H2" s="11"/>
      <c r="I2" s="11"/>
      <c r="J2" s="12"/>
      <c r="K2" s="11"/>
      <c r="L2" s="11"/>
      <c r="M2" s="11"/>
      <c r="N2" s="11"/>
      <c r="O2" s="13"/>
      <c r="P2" s="13"/>
      <c r="Q2" s="13"/>
      <c r="R2" s="13"/>
      <c r="S2" s="13"/>
      <c r="T2" s="13"/>
      <c r="U2" s="13"/>
      <c r="V2" s="13"/>
      <c r="W2" s="13"/>
      <c r="X2" s="13"/>
      <c r="Y2" s="13"/>
    </row>
    <row r="3" customFormat="false" ht="30.75" hidden="false" customHeight="true" outlineLevel="0" collapsed="false">
      <c r="A3" s="1" t="s">
        <v>19</v>
      </c>
      <c r="B3" s="14" t="n">
        <f aca="false">'Overall Estimates'!C18</f>
        <v>0.106170533521145</v>
      </c>
      <c r="C3" s="14" t="n">
        <f aca="false">'Overall Estimates'!D18</f>
        <v>0.671323125816497</v>
      </c>
      <c r="D3" s="15"/>
      <c r="E3" s="16" t="n">
        <f aca="false">2.20462*B3</f>
        <v>0.234065681611387</v>
      </c>
      <c r="F3" s="16" t="n">
        <f aca="false">2.20462*C3</f>
        <v>1.48001238963757</v>
      </c>
      <c r="G3" s="17"/>
      <c r="H3" s="15"/>
      <c r="I3" s="15"/>
      <c r="J3" s="18"/>
      <c r="K3" s="15"/>
      <c r="L3" s="19"/>
      <c r="M3" s="19"/>
      <c r="N3" s="19"/>
      <c r="O3" s="2"/>
      <c r="P3" s="2"/>
      <c r="Q3" s="2"/>
      <c r="R3" s="2"/>
      <c r="S3" s="2"/>
      <c r="T3" s="2"/>
      <c r="U3" s="2"/>
      <c r="V3" s="2"/>
      <c r="W3" s="2"/>
      <c r="X3" s="2"/>
      <c r="Y3" s="2"/>
    </row>
    <row r="4" customFormat="false" ht="21.6" hidden="false" customHeight="true" outlineLevel="0" collapsed="false">
      <c r="A4" s="20" t="s">
        <v>20</v>
      </c>
      <c r="B4" s="14" t="n">
        <f aca="false">'Overall Estimates'!C19</f>
        <v>0.00172473101273839</v>
      </c>
      <c r="C4" s="14" t="n">
        <f aca="false">'Overall Estimates'!D19</f>
        <v>0.001921862718882</v>
      </c>
      <c r="D4" s="15"/>
      <c r="E4" s="16" t="n">
        <f aca="false">2.20462*B4</f>
        <v>0.00380237648530331</v>
      </c>
      <c r="F4" s="16" t="n">
        <f aca="false">2.20462*C4</f>
        <v>0.00423697698730163</v>
      </c>
      <c r="G4" s="17"/>
      <c r="H4" s="15"/>
      <c r="I4" s="15"/>
      <c r="J4" s="18"/>
      <c r="K4" s="15"/>
      <c r="L4" s="19"/>
      <c r="M4" s="19"/>
      <c r="N4" s="19"/>
      <c r="O4" s="2"/>
      <c r="P4" s="2"/>
      <c r="Q4" s="2"/>
      <c r="R4" s="2"/>
      <c r="S4" s="2"/>
      <c r="T4" s="2"/>
      <c r="U4" s="2"/>
      <c r="V4" s="2"/>
      <c r="W4" s="2"/>
      <c r="X4" s="2"/>
      <c r="Y4" s="2"/>
    </row>
    <row r="5" customFormat="false" ht="20.1" hidden="false" customHeight="true" outlineLevel="0" collapsed="false">
      <c r="A5" s="20" t="s">
        <v>21</v>
      </c>
      <c r="B5" s="14" t="n">
        <f aca="false">'Overall Estimates'!C20</f>
        <v>0.292583957579591</v>
      </c>
      <c r="C5" s="14" t="n">
        <f aca="false">'Overall Estimates'!D20</f>
        <v>0.330327156106981</v>
      </c>
      <c r="D5" s="15"/>
      <c r="E5" s="16" t="n">
        <f aca="false">2.20462*B5</f>
        <v>0.645036444559118</v>
      </c>
      <c r="F5" s="16" t="n">
        <f aca="false">2.20462*C5</f>
        <v>0.728245854896572</v>
      </c>
      <c r="G5" s="17"/>
      <c r="H5" s="15"/>
      <c r="I5" s="15"/>
      <c r="J5" s="18"/>
      <c r="K5" s="15"/>
      <c r="L5" s="19"/>
      <c r="M5" s="19"/>
      <c r="N5" s="19"/>
      <c r="O5" s="2"/>
      <c r="P5" s="2"/>
      <c r="Q5" s="2"/>
      <c r="R5" s="2"/>
      <c r="S5" s="2"/>
      <c r="T5" s="2"/>
      <c r="U5" s="2"/>
      <c r="V5" s="2"/>
      <c r="W5" s="2"/>
      <c r="X5" s="2"/>
      <c r="Y5" s="2"/>
    </row>
    <row r="6" customFormat="false" ht="15.75" hidden="false" customHeight="true" outlineLevel="0" collapsed="false">
      <c r="A6" s="20" t="s">
        <v>22</v>
      </c>
      <c r="B6" s="14" t="n">
        <f aca="false">'Overall Estimates'!C21</f>
        <v>0.0168538244301802</v>
      </c>
      <c r="C6" s="14" t="n">
        <f aca="false">'Overall Estimates'!D21</f>
        <v>0.0427594745069268</v>
      </c>
      <c r="D6" s="15"/>
      <c r="E6" s="16" t="n">
        <f aca="false">2.20462*B6</f>
        <v>0.0371562784152639</v>
      </c>
      <c r="F6" s="16" t="n">
        <f aca="false">2.20462*C6</f>
        <v>0.0942683926874611</v>
      </c>
      <c r="G6" s="17"/>
      <c r="H6" s="15"/>
      <c r="I6" s="15"/>
      <c r="J6" s="18"/>
      <c r="K6" s="15"/>
      <c r="L6" s="19"/>
      <c r="M6" s="19"/>
      <c r="N6" s="19"/>
      <c r="O6" s="2"/>
      <c r="P6" s="2"/>
      <c r="Q6" s="2"/>
      <c r="R6" s="2"/>
      <c r="S6" s="2"/>
      <c r="T6" s="2"/>
      <c r="U6" s="2"/>
      <c r="V6" s="2"/>
      <c r="W6" s="2"/>
      <c r="X6" s="2"/>
      <c r="Y6" s="2"/>
    </row>
    <row r="7" customFormat="false" ht="15.75" hidden="false" customHeight="true" outlineLevel="0" collapsed="false">
      <c r="A7" s="20" t="s">
        <v>23</v>
      </c>
      <c r="B7" s="14" t="n">
        <f aca="false">'Overall Estimates'!C22</f>
        <v>0.0650312414961491</v>
      </c>
      <c r="C7" s="14" t="n">
        <f aca="false">'Overall Estimates'!D22</f>
        <v>0.0894500248911284</v>
      </c>
      <c r="D7" s="15"/>
      <c r="E7" s="16" t="n">
        <f aca="false">2.20462*B7</f>
        <v>0.14336917562724</v>
      </c>
      <c r="F7" s="16" t="n">
        <f aca="false">2.20462*C7</f>
        <v>0.19720331387548</v>
      </c>
      <c r="G7" s="17"/>
      <c r="H7" s="15"/>
      <c r="I7" s="15"/>
      <c r="J7" s="18"/>
      <c r="K7" s="15"/>
      <c r="L7" s="19"/>
      <c r="M7" s="19"/>
      <c r="N7" s="19"/>
      <c r="O7" s="2"/>
      <c r="P7" s="2"/>
      <c r="Q7" s="2"/>
      <c r="R7" s="2"/>
      <c r="S7" s="2"/>
      <c r="T7" s="2"/>
      <c r="U7" s="2"/>
      <c r="V7" s="2"/>
      <c r="W7" s="2"/>
      <c r="X7" s="2"/>
      <c r="Y7" s="2"/>
    </row>
    <row r="8" customFormat="false" ht="15.75" hidden="false" customHeight="true" outlineLevel="0" collapsed="false">
      <c r="A8" s="20" t="s">
        <v>24</v>
      </c>
      <c r="B8" s="14" t="n">
        <f aca="false">'Overall Estimates'!C23</f>
        <v>0.0361284674978606</v>
      </c>
      <c r="C8" s="14" t="n">
        <f aca="false">'Overall Estimates'!D23</f>
        <v>0.0440505114829553</v>
      </c>
      <c r="D8" s="15"/>
      <c r="E8" s="16" t="n">
        <f aca="false">2.20462*B8</f>
        <v>0.0796495420151334</v>
      </c>
      <c r="F8" s="16" t="n">
        <f aca="false">2.20462*C8</f>
        <v>0.0971146386255528</v>
      </c>
      <c r="G8" s="17"/>
      <c r="H8" s="15"/>
      <c r="I8" s="15"/>
      <c r="J8" s="18"/>
      <c r="K8" s="15"/>
      <c r="L8" s="19"/>
      <c r="M8" s="19"/>
      <c r="N8" s="19"/>
      <c r="O8" s="2"/>
      <c r="P8" s="2"/>
      <c r="Q8" s="2"/>
      <c r="R8" s="2"/>
      <c r="S8" s="2"/>
      <c r="T8" s="2"/>
      <c r="U8" s="2"/>
      <c r="V8" s="2"/>
      <c r="W8" s="2"/>
      <c r="X8" s="2"/>
      <c r="Y8" s="2"/>
    </row>
    <row r="9" customFormat="false" ht="15.75" hidden="false" customHeight="true" outlineLevel="0" collapsed="false">
      <c r="A9" s="20" t="s">
        <v>25</v>
      </c>
      <c r="B9" s="14" t="n">
        <f aca="false">'Overall Estimates'!C24</f>
        <v>0.00719417778644948</v>
      </c>
      <c r="C9" s="14" t="n">
        <f aca="false">'Overall Estimates'!D24</f>
        <v>0.273004322454604</v>
      </c>
      <c r="D9" s="21"/>
      <c r="E9" s="16" t="n">
        <f aca="false">2.20462*B9</f>
        <v>0.0158604282315623</v>
      </c>
      <c r="F9" s="16" t="n">
        <f aca="false">2.20462*C9</f>
        <v>0.601870789369869</v>
      </c>
      <c r="G9" s="22"/>
      <c r="H9" s="21"/>
      <c r="I9" s="21"/>
      <c r="J9" s="18"/>
      <c r="K9" s="21"/>
      <c r="L9" s="19"/>
      <c r="M9" s="19"/>
      <c r="N9" s="19"/>
      <c r="O9" s="2"/>
      <c r="P9" s="2"/>
      <c r="Q9" s="2"/>
      <c r="R9" s="2"/>
      <c r="S9" s="2"/>
      <c r="T9" s="2"/>
      <c r="U9" s="2"/>
      <c r="V9" s="2"/>
      <c r="W9" s="2"/>
      <c r="X9" s="2"/>
      <c r="Y9" s="2"/>
    </row>
    <row r="10" customFormat="false" ht="15.75" hidden="false" customHeight="true" outlineLevel="0" collapsed="false">
      <c r="A10" s="20" t="s">
        <v>26</v>
      </c>
      <c r="B10" s="14" t="n">
        <f aca="false">'Overall Estimates'!C25</f>
        <v>0.0534872069048205</v>
      </c>
      <c r="C10" s="14" t="n">
        <f aca="false">'Overall Estimates'!D25</f>
        <v>0.0582966832750087</v>
      </c>
      <c r="D10" s="21"/>
      <c r="E10" s="16" t="n">
        <f aca="false">2.20462*B10</f>
        <v>0.117918966086505</v>
      </c>
      <c r="F10" s="16" t="n">
        <f aca="false">2.20462*C10</f>
        <v>0.12852203388175</v>
      </c>
      <c r="G10" s="22"/>
      <c r="H10" s="21"/>
      <c r="I10" s="21"/>
      <c r="J10" s="18"/>
      <c r="K10" s="21"/>
      <c r="L10" s="19"/>
      <c r="M10" s="19"/>
      <c r="N10" s="19"/>
      <c r="O10" s="2"/>
      <c r="P10" s="2"/>
      <c r="Q10" s="2"/>
      <c r="R10" s="2"/>
      <c r="S10" s="2"/>
      <c r="T10" s="2"/>
      <c r="U10" s="2"/>
      <c r="V10" s="2"/>
      <c r="W10" s="2"/>
      <c r="X10" s="2"/>
      <c r="Y10" s="2"/>
    </row>
    <row r="11" customFormat="false" ht="15.75" hidden="false" customHeight="true" outlineLevel="0" collapsed="false">
      <c r="A11" s="20" t="s">
        <v>27</v>
      </c>
      <c r="B11" s="14" t="n">
        <f aca="false">'Overall Estimates'!C26</f>
        <v>0.142939169887632</v>
      </c>
      <c r="C11" s="14" t="n">
        <f aca="false">'Overall Estimates'!D26</f>
        <v>0.222326655772026</v>
      </c>
      <c r="D11" s="15"/>
      <c r="E11" s="16" t="n">
        <f aca="false">2.20462*B11</f>
        <v>0.315126552717672</v>
      </c>
      <c r="F11" s="16" t="n">
        <f aca="false">2.20462*C11</f>
        <v>0.490145791848125</v>
      </c>
      <c r="G11" s="17"/>
      <c r="H11" s="17"/>
      <c r="I11" s="15"/>
      <c r="J11" s="18"/>
      <c r="K11" s="15"/>
      <c r="L11" s="19"/>
      <c r="M11" s="19"/>
      <c r="N11" s="19"/>
      <c r="O11" s="2"/>
      <c r="P11" s="2"/>
      <c r="Q11" s="2"/>
      <c r="R11" s="2"/>
      <c r="S11" s="2"/>
      <c r="T11" s="2"/>
      <c r="U11" s="2"/>
      <c r="V11" s="2"/>
      <c r="W11" s="2"/>
      <c r="X11" s="2"/>
      <c r="Y11" s="2"/>
    </row>
    <row r="12" customFormat="false" ht="15.75" hidden="false" customHeight="true" outlineLevel="0" collapsed="false">
      <c r="A12" s="23" t="s">
        <v>28</v>
      </c>
      <c r="B12" s="14" t="n">
        <f aca="false">'Overall Estimates'!C27</f>
        <v>1.28282043747111E-005</v>
      </c>
      <c r="C12" s="14" t="n">
        <f aca="false">'Overall Estimates'!D27</f>
        <v>1.39707915944735E-005</v>
      </c>
      <c r="D12" s="15"/>
      <c r="E12" s="16" t="n">
        <f aca="false">2.20462*B12</f>
        <v>2.82813159285756E-005</v>
      </c>
      <c r="F12" s="16" t="n">
        <f aca="false">2.20462*C12</f>
        <v>3.08002865650082E-005</v>
      </c>
      <c r="G12" s="17"/>
      <c r="H12" s="17"/>
      <c r="I12" s="15"/>
      <c r="J12" s="18"/>
      <c r="K12" s="15"/>
      <c r="L12" s="19"/>
      <c r="M12" s="19"/>
      <c r="N12" s="19"/>
      <c r="O12" s="2"/>
      <c r="P12" s="2"/>
      <c r="Q12" s="2"/>
      <c r="R12" s="2"/>
      <c r="S12" s="2"/>
      <c r="T12" s="2"/>
      <c r="U12" s="2"/>
      <c r="V12" s="2"/>
      <c r="W12" s="2"/>
      <c r="X12" s="2"/>
      <c r="Y12" s="2"/>
    </row>
    <row r="13" customFormat="false" ht="15.75" hidden="false" customHeight="true" outlineLevel="0" collapsed="false">
      <c r="A13" s="20" t="s">
        <v>29</v>
      </c>
      <c r="B13" s="14" t="n">
        <f aca="false">'Overall Estimates'!C28</f>
        <v>8.06894055169328E-005</v>
      </c>
      <c r="C13" s="14" t="n">
        <f aca="false">'Overall Estimates'!D28</f>
        <v>8.78762791292385E-005</v>
      </c>
      <c r="D13" s="15"/>
      <c r="E13" s="16" t="n">
        <f aca="false">2.20462*B13</f>
        <v>0.00017788947719074</v>
      </c>
      <c r="F13" s="16" t="n">
        <f aca="false">2.20462*C13</f>
        <v>0.000193733802493902</v>
      </c>
      <c r="G13" s="17"/>
      <c r="H13" s="17"/>
      <c r="I13" s="15"/>
      <c r="J13" s="18"/>
      <c r="K13" s="15"/>
      <c r="L13" s="19"/>
      <c r="M13" s="19"/>
      <c r="N13" s="19"/>
      <c r="O13" s="2"/>
      <c r="P13" s="2"/>
      <c r="Q13" s="2"/>
      <c r="R13" s="2"/>
      <c r="S13" s="2"/>
      <c r="T13" s="2"/>
      <c r="U13" s="2"/>
      <c r="V13" s="2"/>
      <c r="W13" s="2"/>
      <c r="X13" s="2"/>
      <c r="Y13" s="2"/>
    </row>
    <row r="14" customFormat="false" ht="15.75" hidden="false" customHeight="true" outlineLevel="0" collapsed="false">
      <c r="A14" s="20" t="s">
        <v>30</v>
      </c>
      <c r="B14" s="14" t="n">
        <f aca="false">'Overall Estimates'!C29</f>
        <v>1.31360812797042E-005</v>
      </c>
      <c r="C14" s="14" t="n">
        <f aca="false">'Overall Estimates'!D29</f>
        <v>1.43060905927409E-005</v>
      </c>
      <c r="D14" s="15"/>
      <c r="E14" s="16" t="n">
        <f aca="false">2.20462*B14</f>
        <v>2.89600675108614E-005</v>
      </c>
      <c r="F14" s="16" t="n">
        <f aca="false">2.20462*C14</f>
        <v>3.15394934425684E-005</v>
      </c>
      <c r="G14" s="17"/>
      <c r="H14" s="17"/>
      <c r="I14" s="15"/>
      <c r="J14" s="18"/>
      <c r="K14" s="15"/>
      <c r="L14" s="19"/>
      <c r="M14" s="19"/>
      <c r="N14" s="19"/>
      <c r="O14" s="2"/>
      <c r="P14" s="2"/>
      <c r="Q14" s="2"/>
      <c r="R14" s="2"/>
      <c r="S14" s="2"/>
      <c r="T14" s="2"/>
      <c r="U14" s="2"/>
      <c r="V14" s="2"/>
      <c r="W14" s="2"/>
      <c r="X14" s="2"/>
      <c r="Y14" s="2"/>
    </row>
    <row r="15" customFormat="false" ht="15.75" hidden="false" customHeight="true" outlineLevel="0" collapsed="false">
      <c r="A15" s="20" t="s">
        <v>31</v>
      </c>
      <c r="B15" s="14" t="n">
        <f aca="false">'Overall Estimates'!C30</f>
        <v>5.86248939924297E-005</v>
      </c>
      <c r="C15" s="14" t="n">
        <f aca="false">'Overall Estimates'!D30</f>
        <v>6.3846517586744E-005</v>
      </c>
      <c r="D15" s="15"/>
      <c r="E15" s="16" t="n">
        <f aca="false">2.20462*B15</f>
        <v>0.00012924561379359</v>
      </c>
      <c r="F15" s="16" t="n">
        <f aca="false">2.20462*C15</f>
        <v>0.000140757309602088</v>
      </c>
      <c r="G15" s="17"/>
      <c r="H15" s="17"/>
      <c r="I15" s="15"/>
      <c r="J15" s="18"/>
      <c r="K15" s="15"/>
      <c r="L15" s="19"/>
      <c r="M15" s="19"/>
      <c r="N15" s="19"/>
      <c r="O15" s="2"/>
      <c r="P15" s="2"/>
      <c r="Q15" s="2"/>
      <c r="R15" s="2"/>
      <c r="S15" s="2"/>
      <c r="T15" s="2"/>
      <c r="U15" s="2"/>
      <c r="V15" s="2"/>
      <c r="W15" s="2"/>
      <c r="X15" s="2"/>
      <c r="Y15" s="2"/>
    </row>
    <row r="16" customFormat="false" ht="15.75" hidden="false" customHeight="true" outlineLevel="0" collapsed="false">
      <c r="A16" s="20" t="s">
        <v>32</v>
      </c>
      <c r="B16" s="14" t="n">
        <f aca="false">'Overall Estimates'!C31</f>
        <v>3.84846131241333E-005</v>
      </c>
      <c r="C16" s="14" t="n">
        <f aca="false">'Overall Estimates'!D31</f>
        <v>4.19123747834206E-005</v>
      </c>
      <c r="D16" s="15"/>
      <c r="E16" s="16" t="n">
        <f aca="false">2.20462*B16</f>
        <v>8.48439477857268E-005</v>
      </c>
      <c r="F16" s="16" t="n">
        <f aca="false">2.20462*C16</f>
        <v>9.24008596950247E-005</v>
      </c>
      <c r="G16" s="17"/>
      <c r="H16" s="17"/>
      <c r="I16" s="15"/>
      <c r="J16" s="18"/>
      <c r="K16" s="15"/>
      <c r="L16" s="19"/>
      <c r="M16" s="19"/>
      <c r="N16" s="19"/>
      <c r="O16" s="2"/>
      <c r="P16" s="2"/>
      <c r="Q16" s="2"/>
      <c r="R16" s="2"/>
      <c r="S16" s="2"/>
      <c r="T16" s="2"/>
      <c r="U16" s="2"/>
      <c r="V16" s="2"/>
      <c r="W16" s="2"/>
      <c r="X16" s="2"/>
      <c r="Y16" s="2"/>
    </row>
    <row r="17" customFormat="false" ht="15.75" hidden="false" customHeight="true" outlineLevel="0" collapsed="false">
      <c r="A17" s="20" t="s">
        <v>33</v>
      </c>
      <c r="B17" s="14" t="n">
        <f aca="false">'Overall Estimates'!C32</f>
        <v>4.31027666990293E-005</v>
      </c>
      <c r="C17" s="14" t="n">
        <f aca="false">'Overall Estimates'!D32</f>
        <v>4.69418597574311E-005</v>
      </c>
      <c r="D17" s="15"/>
      <c r="E17" s="16" t="n">
        <f aca="false">2.20462*B17</f>
        <v>9.5025221520014E-005</v>
      </c>
      <c r="F17" s="16" t="n">
        <f aca="false">2.20462*C17</f>
        <v>0.000103488962858428</v>
      </c>
      <c r="G17" s="17"/>
      <c r="H17" s="17"/>
      <c r="I17" s="15"/>
      <c r="J17" s="18"/>
      <c r="K17" s="15"/>
      <c r="L17" s="19"/>
      <c r="M17" s="19"/>
      <c r="N17" s="19"/>
      <c r="O17" s="2"/>
      <c r="P17" s="2"/>
      <c r="Q17" s="2"/>
      <c r="R17" s="2"/>
      <c r="S17" s="2"/>
      <c r="T17" s="2"/>
      <c r="U17" s="2"/>
      <c r="V17" s="2"/>
      <c r="W17" s="2"/>
      <c r="X17" s="2"/>
      <c r="Y17" s="2"/>
    </row>
    <row r="18" customFormat="false" ht="15.75" hidden="false" customHeight="true" outlineLevel="0" collapsed="false">
      <c r="A18" s="20" t="s">
        <v>34</v>
      </c>
      <c r="B18" s="14" t="n">
        <f aca="false">'Overall Estimates'!C33</f>
        <v>9.62115328103333E-005</v>
      </c>
      <c r="C18" s="14" t="n">
        <f aca="false">'Overall Estimates'!D33</f>
        <v>0.000104780936958551</v>
      </c>
      <c r="D18" s="15"/>
      <c r="E18" s="16" t="n">
        <f aca="false">2.20462*B18</f>
        <v>0.000212109869464317</v>
      </c>
      <c r="F18" s="16" t="n">
        <f aca="false">2.20462*C18</f>
        <v>0.000231002149237562</v>
      </c>
      <c r="G18" s="17"/>
      <c r="H18" s="17"/>
      <c r="I18" s="15"/>
      <c r="J18" s="18"/>
      <c r="K18" s="15"/>
      <c r="L18" s="19"/>
      <c r="M18" s="19"/>
      <c r="N18" s="19"/>
      <c r="O18" s="2"/>
      <c r="P18" s="2"/>
      <c r="Q18" s="2"/>
      <c r="R18" s="2"/>
      <c r="S18" s="2"/>
      <c r="T18" s="2"/>
      <c r="U18" s="2"/>
      <c r="V18" s="2"/>
      <c r="W18" s="2"/>
      <c r="X18" s="2"/>
      <c r="Y18" s="2"/>
    </row>
    <row r="19" customFormat="false" ht="15.75" hidden="false" customHeight="true" outlineLevel="0" collapsed="false">
      <c r="A19" s="24" t="s">
        <v>35</v>
      </c>
      <c r="B19" s="14" t="n">
        <f aca="false">'Overall Estimates'!C34</f>
        <v>2.10382551745262E-005</v>
      </c>
      <c r="C19" s="14" t="n">
        <f aca="false">'Overall Estimates'!D34</f>
        <v>2.29120982149366E-005</v>
      </c>
      <c r="D19" s="15"/>
      <c r="E19" s="16" t="n">
        <f aca="false">2.20462*B19</f>
        <v>4.6381358122864E-005</v>
      </c>
      <c r="F19" s="16" t="n">
        <f aca="false">2.20462*C19</f>
        <v>5.05124699666135E-005</v>
      </c>
      <c r="G19" s="17"/>
      <c r="H19" s="17"/>
      <c r="I19" s="15"/>
      <c r="J19" s="18"/>
      <c r="K19" s="15"/>
      <c r="L19" s="19"/>
      <c r="M19" s="19"/>
      <c r="N19" s="19"/>
      <c r="O19" s="2"/>
      <c r="P19" s="2"/>
      <c r="Q19" s="2"/>
      <c r="R19" s="2"/>
      <c r="S19" s="2"/>
      <c r="T19" s="2"/>
      <c r="U19" s="2"/>
      <c r="V19" s="2"/>
      <c r="W19" s="2"/>
      <c r="X19" s="2"/>
      <c r="Y19" s="2"/>
    </row>
    <row r="20" customFormat="false" ht="15.75" hidden="false" customHeight="true" outlineLevel="0" collapsed="false">
      <c r="A20" s="20" t="s">
        <v>36</v>
      </c>
      <c r="B20" s="14" t="n">
        <f aca="false">'Overall Estimates'!C35</f>
        <v>9.15933792354372E-005</v>
      </c>
      <c r="C20" s="14" t="n">
        <f aca="false">'Overall Estimates'!D35</f>
        <v>9.97514519845409E-005</v>
      </c>
      <c r="D20" s="15"/>
      <c r="E20" s="16" t="n">
        <f aca="false">2.20462*B20</f>
        <v>0.00020192859573003</v>
      </c>
      <c r="F20" s="16" t="n">
        <f aca="false">2.20462*C20</f>
        <v>0.000219914046074159</v>
      </c>
      <c r="G20" s="17"/>
      <c r="H20" s="17"/>
      <c r="I20" s="15"/>
      <c r="J20" s="18"/>
      <c r="K20" s="15"/>
      <c r="L20" s="19"/>
      <c r="M20" s="19"/>
      <c r="N20" s="19"/>
      <c r="O20" s="2"/>
      <c r="P20" s="2"/>
      <c r="Q20" s="2"/>
      <c r="R20" s="2"/>
      <c r="S20" s="2"/>
      <c r="T20" s="2"/>
      <c r="U20" s="2"/>
      <c r="V20" s="2"/>
      <c r="W20" s="2"/>
      <c r="X20" s="2"/>
      <c r="Y20" s="2"/>
    </row>
    <row r="21" customFormat="false" ht="15.75" hidden="false" customHeight="true" outlineLevel="0" collapsed="false">
      <c r="A21" s="20" t="s">
        <v>37</v>
      </c>
      <c r="B21" s="14" t="n">
        <f aca="false">'Overall Estimates'!C36</f>
        <v>1.42649632646787E-005</v>
      </c>
      <c r="C21" s="14" t="n">
        <f aca="false">'Overall Estimates'!D36</f>
        <v>1.55355202530546E-005</v>
      </c>
      <c r="D21" s="15"/>
      <c r="E21" s="16" t="n">
        <f aca="false">2.20462*B21</f>
        <v>3.14488233125761E-005</v>
      </c>
      <c r="F21" s="16" t="n">
        <f aca="false">2.20462*C21</f>
        <v>3.42499186602891E-005</v>
      </c>
      <c r="G21" s="17"/>
      <c r="H21" s="17"/>
      <c r="I21" s="15"/>
      <c r="J21" s="18"/>
      <c r="K21" s="15"/>
      <c r="L21" s="19"/>
      <c r="M21" s="19"/>
      <c r="N21" s="19"/>
      <c r="O21" s="2"/>
      <c r="P21" s="2"/>
      <c r="Q21" s="2"/>
      <c r="R21" s="2"/>
      <c r="S21" s="2"/>
      <c r="T21" s="2"/>
      <c r="U21" s="2"/>
      <c r="V21" s="2"/>
      <c r="W21" s="2"/>
      <c r="X21" s="2"/>
      <c r="Y21" s="2"/>
    </row>
    <row r="22" customFormat="false" ht="15.75" hidden="false" customHeight="true" outlineLevel="0" collapsed="false">
      <c r="A22" s="20" t="s">
        <v>38</v>
      </c>
      <c r="B22" s="14" t="n">
        <f aca="false">'Overall Estimates'!C37</f>
        <v>9.15933792354372E-005</v>
      </c>
      <c r="C22" s="14" t="n">
        <f aca="false">'Overall Estimates'!D37</f>
        <v>9.97514519845409E-005</v>
      </c>
      <c r="D22" s="15"/>
      <c r="E22" s="16" t="n">
        <f aca="false">2.20462*B22</f>
        <v>0.00020192859573003</v>
      </c>
      <c r="F22" s="16" t="n">
        <f aca="false">2.20462*C22</f>
        <v>0.000219914046074159</v>
      </c>
      <c r="G22" s="17"/>
      <c r="H22" s="17"/>
      <c r="I22" s="15"/>
      <c r="J22" s="18"/>
      <c r="K22" s="15"/>
      <c r="L22" s="19"/>
      <c r="M22" s="19"/>
      <c r="N22" s="19"/>
      <c r="O22" s="2"/>
      <c r="P22" s="2"/>
      <c r="Q22" s="2"/>
      <c r="R22" s="2"/>
      <c r="S22" s="2"/>
      <c r="T22" s="2"/>
      <c r="U22" s="2"/>
      <c r="V22" s="2"/>
      <c r="W22" s="2"/>
      <c r="X22" s="2"/>
      <c r="Y22" s="2"/>
    </row>
    <row r="23" customFormat="false" ht="15.75" hidden="false" customHeight="true" outlineLevel="0" collapsed="false">
      <c r="A23" s="20" t="s">
        <v>39</v>
      </c>
      <c r="B23" s="14" t="n">
        <f aca="false">'Overall Estimates'!C38</f>
        <v>9.54418405478506E-006</v>
      </c>
      <c r="C23" s="14" t="n">
        <f aca="false">'Overall Estimates'!D38</f>
        <v>1.03942689462883E-005</v>
      </c>
      <c r="D23" s="15"/>
      <c r="E23" s="16" t="n">
        <f aca="false">2.20462*B23</f>
        <v>2.10412990508602E-005</v>
      </c>
      <c r="F23" s="16" t="n">
        <f aca="false">2.20462*C23</f>
        <v>2.29154132043661E-005</v>
      </c>
      <c r="G23" s="17"/>
      <c r="H23" s="17"/>
      <c r="I23" s="15"/>
      <c r="J23" s="18"/>
      <c r="K23" s="15"/>
      <c r="L23" s="19"/>
      <c r="M23" s="19"/>
      <c r="N23" s="19"/>
      <c r="O23" s="2"/>
      <c r="P23" s="2"/>
      <c r="Q23" s="2"/>
      <c r="R23" s="2"/>
      <c r="S23" s="2"/>
      <c r="T23" s="2"/>
      <c r="U23" s="2"/>
      <c r="V23" s="2"/>
      <c r="W23" s="2"/>
      <c r="X23" s="2"/>
      <c r="Y23" s="2"/>
    </row>
    <row r="24" customFormat="false" ht="15.75" hidden="false" customHeight="true" outlineLevel="0" collapsed="false">
      <c r="A24" s="20" t="s">
        <v>40</v>
      </c>
      <c r="B24" s="14" t="n">
        <f aca="false">'Overall Estimates'!C39</f>
        <v>9.2491353541667E-005</v>
      </c>
      <c r="C24" s="14" t="n">
        <f aca="false">'Overall Estimates'!D39</f>
        <v>0.000100729407396154</v>
      </c>
      <c r="D24" s="15"/>
      <c r="E24" s="16" t="n">
        <f aca="false">2.20462*B24</f>
        <v>0.00020390828784503</v>
      </c>
      <c r="F24" s="16" t="n">
        <f aca="false">2.20462*C24</f>
        <v>0.000222070066133709</v>
      </c>
      <c r="G24" s="17"/>
      <c r="H24" s="17"/>
      <c r="I24" s="15"/>
      <c r="J24" s="18"/>
      <c r="K24" s="15"/>
      <c r="L24" s="19"/>
      <c r="M24" s="19"/>
      <c r="N24" s="19"/>
      <c r="O24" s="2"/>
      <c r="P24" s="2"/>
      <c r="Q24" s="2"/>
      <c r="R24" s="2"/>
      <c r="S24" s="2"/>
      <c r="T24" s="2"/>
      <c r="U24" s="2"/>
      <c r="V24" s="2"/>
      <c r="W24" s="2"/>
      <c r="X24" s="2"/>
      <c r="Y24" s="2"/>
    </row>
    <row r="25" customFormat="false" ht="15.75" hidden="false" customHeight="true" outlineLevel="0" collapsed="false">
      <c r="A25" s="20" t="s">
        <v>41</v>
      </c>
      <c r="B25" s="14" t="n">
        <f aca="false">'Overall Estimates'!C40</f>
        <v>1.45728401696718E-005</v>
      </c>
      <c r="C25" s="14" t="n">
        <f aca="false">'Overall Estimates'!D40</f>
        <v>1.58708192513219E-005</v>
      </c>
      <c r="D25" s="15"/>
      <c r="E25" s="16" t="n">
        <f aca="false">2.20462*B25</f>
        <v>3.21275748948619E-005</v>
      </c>
      <c r="F25" s="16" t="n">
        <f aca="false">2.20462*C25</f>
        <v>3.49891255378493E-005</v>
      </c>
      <c r="G25" s="17"/>
      <c r="H25" s="15"/>
      <c r="I25" s="15"/>
      <c r="J25" s="18"/>
      <c r="K25" s="15"/>
      <c r="L25" s="19"/>
      <c r="M25" s="19"/>
      <c r="N25" s="19"/>
      <c r="O25" s="2"/>
      <c r="P25" s="2"/>
      <c r="Q25" s="2"/>
      <c r="R25" s="2"/>
      <c r="S25" s="2"/>
      <c r="T25" s="2"/>
      <c r="U25" s="2"/>
      <c r="V25" s="2"/>
      <c r="W25" s="2"/>
      <c r="X25" s="2"/>
      <c r="Y25" s="2"/>
    </row>
    <row r="26" customFormat="false" ht="15.75" hidden="false" customHeight="true" outlineLevel="0" collapsed="false">
      <c r="A26" s="20" t="s">
        <v>42</v>
      </c>
      <c r="B26" s="14" t="n">
        <f aca="false">'Overall Estimates'!C41</f>
        <v>36.6181621363608</v>
      </c>
      <c r="C26" s="14" t="n">
        <f aca="false">'Overall Estimates'!D41</f>
        <v>39.5476151072697</v>
      </c>
      <c r="D26" s="25"/>
      <c r="E26" s="16" t="n">
        <f aca="false">2.20462*B26</f>
        <v>80.7291326090638</v>
      </c>
      <c r="F26" s="16" t="n">
        <f aca="false">2.20462*C26</f>
        <v>87.187463217789</v>
      </c>
      <c r="G26" s="17"/>
      <c r="H26" s="15"/>
      <c r="I26" s="15"/>
      <c r="J26" s="18"/>
      <c r="K26" s="15"/>
      <c r="L26" s="19"/>
      <c r="M26" s="19"/>
      <c r="N26" s="19"/>
      <c r="O26" s="2"/>
      <c r="P26" s="2"/>
      <c r="Q26" s="2"/>
      <c r="R26" s="2"/>
      <c r="S26" s="2"/>
      <c r="T26" s="2"/>
      <c r="U26" s="2"/>
      <c r="V26" s="2"/>
      <c r="W26" s="2"/>
      <c r="X26" s="2"/>
      <c r="Y26" s="2"/>
    </row>
    <row r="27" customFormat="false" ht="15.75" hidden="false" customHeight="true" outlineLevel="0" collapsed="false">
      <c r="A27" s="20" t="s">
        <v>43</v>
      </c>
      <c r="B27" s="14" t="n">
        <f aca="false">'Overall Estimates'!C42</f>
        <v>0.181223153853056</v>
      </c>
      <c r="C27" s="14" t="n">
        <f aca="false">'Overall Estimates'!D42</f>
        <v>2.04933892344174</v>
      </c>
      <c r="D27" s="2"/>
      <c r="E27" s="16" t="n">
        <f aca="false">2.20462*B27</f>
        <v>0.399528189447524</v>
      </c>
      <c r="F27" s="16" t="n">
        <f aca="false">2.20462*C27</f>
        <v>4.51801357739813</v>
      </c>
      <c r="G27" s="17"/>
      <c r="H27" s="15"/>
      <c r="I27" s="15"/>
      <c r="J27" s="18"/>
      <c r="K27" s="15"/>
      <c r="L27" s="19"/>
      <c r="M27" s="19"/>
      <c r="N27" s="19"/>
      <c r="O27" s="2"/>
      <c r="P27" s="2"/>
      <c r="Q27" s="2"/>
      <c r="R27" s="2"/>
      <c r="S27" s="2"/>
      <c r="T27" s="2"/>
      <c r="U27" s="2"/>
      <c r="V27" s="2"/>
      <c r="W27" s="2"/>
      <c r="X27" s="2"/>
      <c r="Y27" s="2"/>
    </row>
    <row r="28" customFormat="false" ht="15.75" hidden="false" customHeight="true" outlineLevel="0" collapsed="false">
      <c r="A28" s="20" t="s">
        <v>44</v>
      </c>
      <c r="B28" s="14" t="n">
        <f aca="false">'Overall Estimates'!C43</f>
        <v>0.153860510592743</v>
      </c>
      <c r="C28" s="14" t="n">
        <f aca="false">'Overall Estimates'!D43</f>
        <v>0.166169351440162</v>
      </c>
      <c r="D28" s="2"/>
      <c r="E28" s="16" t="n">
        <f aca="false">2.20462*B28</f>
        <v>0.339203958862972</v>
      </c>
      <c r="F28" s="16" t="n">
        <f aca="false">2.20462*C28</f>
        <v>0.36634027557201</v>
      </c>
      <c r="G28" s="15"/>
      <c r="H28" s="15"/>
      <c r="I28" s="26"/>
      <c r="J28" s="26"/>
      <c r="K28" s="15"/>
      <c r="L28" s="27"/>
      <c r="M28" s="27"/>
      <c r="N28" s="2"/>
      <c r="O28" s="2"/>
      <c r="P28" s="2"/>
      <c r="Q28" s="2"/>
      <c r="R28" s="2"/>
      <c r="S28" s="2"/>
      <c r="T28" s="2"/>
      <c r="U28" s="2"/>
      <c r="V28" s="2"/>
      <c r="W28" s="2"/>
      <c r="X28" s="2"/>
      <c r="Y28" s="2"/>
    </row>
    <row r="29" customFormat="false" ht="15.75" hidden="false" customHeight="true" outlineLevel="0" collapsed="false">
      <c r="A29" s="20" t="s">
        <v>45</v>
      </c>
      <c r="B29" s="14" t="n">
        <f aca="false">'Overall Estimates'!C44</f>
        <v>1.63563123313303</v>
      </c>
      <c r="C29" s="14" t="n">
        <f aca="false">'Overall Estimates'!D44</f>
        <v>13.8970328547309</v>
      </c>
      <c r="D29" s="2"/>
      <c r="E29" s="16" t="n">
        <f aca="false">2.20462*B29</f>
        <v>3.60594532918974</v>
      </c>
      <c r="F29" s="16" t="n">
        <f aca="false">2.20462*C29</f>
        <v>30.6376765721969</v>
      </c>
      <c r="G29" s="2"/>
      <c r="H29" s="2"/>
      <c r="I29" s="2"/>
      <c r="J29" s="2"/>
      <c r="K29" s="2"/>
      <c r="L29" s="2"/>
      <c r="M29" s="2"/>
      <c r="N29" s="2"/>
      <c r="O29" s="2"/>
      <c r="P29" s="2"/>
      <c r="Q29" s="2"/>
      <c r="R29" s="2"/>
      <c r="S29" s="2"/>
      <c r="T29" s="2"/>
      <c r="U29" s="2"/>
      <c r="V29" s="2"/>
      <c r="W29" s="2"/>
      <c r="X29" s="2"/>
      <c r="Y29" s="2"/>
    </row>
    <row r="30" customFormat="false" ht="15.75" hidden="false" customHeight="true" outlineLevel="0" collapsed="false">
      <c r="A30" s="20" t="s">
        <v>46</v>
      </c>
      <c r="B30" s="14" t="n">
        <f aca="false">'Overall Estimates'!C45</f>
        <v>0.0666603340469216</v>
      </c>
      <c r="C30" s="14" t="n">
        <f aca="false">'Overall Estimates'!D45</f>
        <v>0.0666603340469216</v>
      </c>
      <c r="D30" s="15"/>
      <c r="E30" s="16" t="n">
        <f aca="false">2.20462*B30</f>
        <v>0.146960705646524</v>
      </c>
      <c r="F30" s="16" t="n">
        <f aca="false">2.20462*C30</f>
        <v>0.146960705646524</v>
      </c>
      <c r="G30" s="2"/>
      <c r="H30" s="2"/>
      <c r="I30" s="2"/>
      <c r="J30" s="2"/>
      <c r="K30" s="2"/>
      <c r="L30" s="2"/>
      <c r="M30" s="2"/>
      <c r="N30" s="2"/>
      <c r="O30" s="2"/>
      <c r="P30" s="2"/>
      <c r="Q30" s="2"/>
      <c r="R30" s="2"/>
      <c r="S30" s="2"/>
      <c r="T30" s="2"/>
      <c r="U30" s="2"/>
      <c r="V30" s="2"/>
      <c r="W30" s="2"/>
      <c r="X30" s="2"/>
      <c r="Y30" s="2"/>
    </row>
    <row r="31" customFormat="false" ht="15.75" hidden="false" customHeight="true" outlineLevel="0" collapsed="false">
      <c r="A31" s="28" t="s">
        <v>47</v>
      </c>
      <c r="B31" s="14" t="n">
        <f aca="false">'Overall Estimates'!C46</f>
        <v>0.317912164902318</v>
      </c>
      <c r="C31" s="14" t="n">
        <f aca="false">'Overall Estimates'!D46</f>
        <v>0.317912164902318</v>
      </c>
      <c r="D31" s="2"/>
      <c r="E31" s="16" t="n">
        <f aca="false">2.20462*B31</f>
        <v>0.700875516986948</v>
      </c>
      <c r="F31" s="16" t="n">
        <f aca="false">2.20462*C31</f>
        <v>0.700875516986948</v>
      </c>
      <c r="G31" s="2"/>
      <c r="H31" s="2"/>
      <c r="I31" s="2"/>
      <c r="J31" s="2"/>
      <c r="K31" s="2"/>
      <c r="L31" s="2"/>
      <c r="M31" s="2"/>
      <c r="N31" s="2"/>
      <c r="O31" s="2"/>
      <c r="P31" s="2"/>
      <c r="Q31" s="2"/>
      <c r="R31" s="2"/>
      <c r="S31" s="2"/>
      <c r="T31" s="2"/>
      <c r="U31" s="2"/>
      <c r="V31" s="2"/>
      <c r="W31" s="2"/>
      <c r="X31" s="2"/>
      <c r="Y31" s="2"/>
    </row>
    <row r="32" customFormat="false" ht="15.75" hidden="false" customHeight="true" outlineLevel="0" collapsed="false">
      <c r="A32" s="20" t="s">
        <v>48</v>
      </c>
      <c r="B32" s="14" t="n">
        <f aca="false">'Overall Estimates'!C47</f>
        <v>0.323605219693217</v>
      </c>
      <c r="C32" s="14" t="n">
        <f aca="false">'Overall Estimates'!D47</f>
        <v>6.76701290135715</v>
      </c>
      <c r="D32" s="2"/>
      <c r="E32" s="16" t="n">
        <f aca="false">2.20462*B32</f>
        <v>0.71342653944006</v>
      </c>
      <c r="F32" s="16" t="n">
        <f aca="false">2.20462*C32</f>
        <v>14.91869198259</v>
      </c>
      <c r="G32" s="2"/>
      <c r="H32" s="2"/>
      <c r="I32" s="2"/>
      <c r="J32" s="2"/>
      <c r="K32" s="2"/>
      <c r="L32" s="2"/>
      <c r="M32" s="2"/>
      <c r="N32" s="2"/>
      <c r="O32" s="2"/>
      <c r="P32" s="2"/>
      <c r="Q32" s="2"/>
      <c r="R32" s="2"/>
      <c r="S32" s="2"/>
      <c r="T32" s="2"/>
      <c r="U32" s="2"/>
      <c r="V32" s="2"/>
      <c r="W32" s="2"/>
      <c r="X32" s="2"/>
      <c r="Y32" s="2"/>
    </row>
    <row r="33" customFormat="false" ht="15.75" hidden="false" customHeight="true" outlineLevel="0" collapsed="false">
      <c r="A33" s="20" t="s">
        <v>49</v>
      </c>
      <c r="B33" s="14" t="n">
        <f aca="false">'Overall Estimates'!C48</f>
        <v>0.0337070861085491</v>
      </c>
      <c r="C33" s="14" t="n">
        <f aca="false">'Overall Estimates'!D48</f>
        <v>0.036403652997233</v>
      </c>
      <c r="D33" s="2"/>
      <c r="E33" s="16" t="n">
        <f aca="false">2.20462*B33</f>
        <v>0.0743113161766295</v>
      </c>
      <c r="F33" s="16" t="n">
        <f aca="false">2.20462*C33</f>
        <v>0.0802562214707599</v>
      </c>
      <c r="G33" s="2"/>
      <c r="H33" s="2"/>
      <c r="I33" s="2"/>
      <c r="J33" s="2"/>
      <c r="K33" s="2"/>
      <c r="L33" s="2"/>
      <c r="M33" s="2"/>
      <c r="N33" s="2"/>
      <c r="O33" s="2"/>
      <c r="P33" s="2"/>
      <c r="Q33" s="2"/>
      <c r="R33" s="2"/>
      <c r="S33" s="2"/>
      <c r="T33" s="2"/>
      <c r="U33" s="2"/>
      <c r="V33" s="2"/>
      <c r="W33" s="2"/>
      <c r="X33" s="2"/>
      <c r="Y33" s="2"/>
    </row>
    <row r="34" customFormat="false" ht="15.75" hidden="false" customHeight="true" outlineLevel="0" collapsed="false">
      <c r="A34" s="20" t="s">
        <v>50</v>
      </c>
      <c r="B34" s="14" t="n">
        <f aca="false">'Overall Estimates'!C49</f>
        <v>1.01321645242196</v>
      </c>
      <c r="C34" s="14" t="n">
        <f aca="false">'Overall Estimates'!D49</f>
        <v>8.61251907889978</v>
      </c>
      <c r="D34" s="2"/>
      <c r="E34" s="16" t="n">
        <f aca="false">2.20462*B34</f>
        <v>2.2337572553385</v>
      </c>
      <c r="F34" s="16" t="n">
        <f aca="false">2.20462*C34</f>
        <v>18.987331811724</v>
      </c>
      <c r="G34" s="2"/>
      <c r="H34" s="2"/>
      <c r="I34" s="2"/>
      <c r="J34" s="2"/>
      <c r="K34" s="2"/>
      <c r="L34" s="2"/>
      <c r="M34" s="2"/>
      <c r="N34" s="2"/>
      <c r="O34" s="2"/>
      <c r="P34" s="2"/>
      <c r="Q34" s="2"/>
      <c r="R34" s="2"/>
      <c r="S34" s="2"/>
      <c r="T34" s="2"/>
      <c r="U34" s="2"/>
      <c r="V34" s="2"/>
      <c r="W34" s="2"/>
      <c r="X34" s="2"/>
      <c r="Y34" s="2"/>
    </row>
    <row r="35" customFormat="false" ht="15.75" hidden="false" customHeight="true" outlineLevel="0" collapsed="false">
      <c r="A35" s="20" t="s">
        <v>51</v>
      </c>
      <c r="B35" s="14" t="n">
        <f aca="false">'Overall Estimates'!C50</f>
        <v>0.33907018969961</v>
      </c>
      <c r="C35" s="14" t="n">
        <f aca="false">'Overall Estimates'!D50</f>
        <v>0.366195804875579</v>
      </c>
      <c r="D35" s="15"/>
      <c r="E35" s="16" t="n">
        <f aca="false">2.20462*B35</f>
        <v>0.747520921615554</v>
      </c>
      <c r="F35" s="16" t="n">
        <f aca="false">2.20462*C35</f>
        <v>0.807322595344799</v>
      </c>
      <c r="G35" s="2"/>
      <c r="H35" s="2"/>
      <c r="I35" s="2"/>
      <c r="J35" s="2"/>
      <c r="K35" s="2"/>
      <c r="L35" s="2"/>
      <c r="M35" s="2"/>
      <c r="N35" s="2"/>
      <c r="O35" s="2"/>
      <c r="P35" s="2"/>
      <c r="Q35" s="2"/>
      <c r="R35" s="2"/>
      <c r="S35" s="2"/>
      <c r="T35" s="2"/>
      <c r="U35" s="2"/>
      <c r="V35" s="2"/>
      <c r="W35" s="2"/>
      <c r="X35" s="2"/>
      <c r="Y35" s="2"/>
    </row>
    <row r="36" customFormat="false" ht="15.75" hidden="false" customHeight="true" outlineLevel="0" collapsed="false">
      <c r="A36" s="20" t="s">
        <v>52</v>
      </c>
      <c r="B36" s="14" t="n">
        <f aca="false">'Overall Estimates'!C51</f>
        <v>0.0905852566620569</v>
      </c>
      <c r="C36" s="14" t="n">
        <f aca="false">'Overall Estimates'!D51</f>
        <v>0.0978320771950215</v>
      </c>
      <c r="D36" s="2"/>
      <c r="E36" s="16" t="n">
        <f aca="false">2.20462*B36</f>
        <v>0.199706068542304</v>
      </c>
      <c r="F36" s="16" t="n">
        <f aca="false">2.20462*C36</f>
        <v>0.215682554025688</v>
      </c>
      <c r="G36" s="2"/>
      <c r="H36" s="2"/>
      <c r="I36" s="2"/>
      <c r="J36" s="2"/>
      <c r="K36" s="2"/>
      <c r="L36" s="2"/>
      <c r="M36" s="2"/>
      <c r="N36" s="2"/>
      <c r="O36" s="2"/>
      <c r="P36" s="2"/>
      <c r="Q36" s="2"/>
      <c r="R36" s="2"/>
      <c r="S36" s="2"/>
      <c r="T36" s="2"/>
      <c r="U36" s="2"/>
      <c r="V36" s="2"/>
      <c r="W36" s="2"/>
      <c r="X36" s="2"/>
      <c r="Y36" s="2"/>
    </row>
    <row r="37" customFormat="false" ht="15.75" hidden="false" customHeight="true" outlineLevel="0" collapsed="false">
      <c r="A37" s="20" t="s">
        <v>53</v>
      </c>
      <c r="B37" s="14" t="n">
        <f aca="false">'Overall Estimates'!C52</f>
        <v>0.96401553167185</v>
      </c>
      <c r="C37" s="14" t="n">
        <f aca="false">'Overall Estimates'!D52</f>
        <v>1.9280310633437</v>
      </c>
      <c r="D37" s="2"/>
      <c r="E37" s="16" t="n">
        <f aca="false">2.20462*B37</f>
        <v>2.12528792143439</v>
      </c>
      <c r="F37" s="16" t="n">
        <f aca="false">2.20462*C37</f>
        <v>4.25057584286879</v>
      </c>
      <c r="G37" s="2"/>
      <c r="H37" s="2"/>
      <c r="I37" s="2"/>
      <c r="J37" s="2"/>
      <c r="K37" s="2"/>
      <c r="L37" s="2"/>
      <c r="M37" s="2"/>
      <c r="N37" s="2"/>
      <c r="O37" s="2"/>
      <c r="P37" s="2"/>
      <c r="Q37" s="2"/>
      <c r="R37" s="2"/>
      <c r="S37" s="2"/>
      <c r="T37" s="2"/>
      <c r="U37" s="2"/>
      <c r="V37" s="2"/>
      <c r="W37" s="2"/>
      <c r="X37" s="2"/>
      <c r="Y37" s="2"/>
    </row>
    <row r="38" customFormat="false" ht="15.75" hidden="false" customHeight="true" outlineLevel="0" collapsed="false">
      <c r="A38" s="20" t="s">
        <v>54</v>
      </c>
      <c r="B38" s="14" t="n">
        <f aca="false">'Overall Estimates'!C53</f>
        <v>0.845445485005855</v>
      </c>
      <c r="C38" s="14" t="n">
        <f aca="false">'Overall Estimates'!D53</f>
        <v>10.0197613705576</v>
      </c>
      <c r="D38" s="2"/>
      <c r="E38" s="16" t="n">
        <f aca="false">2.20462*B38</f>
        <v>1.86388602515361</v>
      </c>
      <c r="F38" s="16" t="n">
        <f aca="false">2.20462*C38</f>
        <v>22.0897663127586</v>
      </c>
      <c r="G38" s="2"/>
      <c r="H38" s="2"/>
      <c r="I38" s="2"/>
      <c r="J38" s="2"/>
      <c r="K38" s="2"/>
      <c r="L38" s="2"/>
      <c r="M38" s="2"/>
      <c r="N38" s="2"/>
      <c r="O38" s="2"/>
      <c r="P38" s="2"/>
      <c r="Q38" s="2"/>
      <c r="R38" s="2"/>
      <c r="S38" s="2"/>
      <c r="T38" s="2"/>
      <c r="U38" s="2"/>
      <c r="V38" s="2"/>
      <c r="W38" s="2"/>
      <c r="X38" s="2"/>
      <c r="Y38" s="2"/>
    </row>
    <row r="39" customFormat="false" ht="15.75" hidden="false" customHeight="true" outlineLevel="0" collapsed="false">
      <c r="A39" s="20" t="s">
        <v>55</v>
      </c>
      <c r="B39" s="14" t="n">
        <f aca="false">'Overall Estimates'!C54</f>
        <v>1.85633158134448</v>
      </c>
      <c r="C39" s="14" t="n">
        <f aca="false">'Overall Estimates'!D54</f>
        <v>2.00483810785204</v>
      </c>
      <c r="D39" s="2"/>
      <c r="E39" s="16" t="n">
        <f aca="false">2.20462*B39</f>
        <v>4.09250573086367</v>
      </c>
      <c r="F39" s="16" t="n">
        <f aca="false">2.20462*C39</f>
        <v>4.41990618933276</v>
      </c>
      <c r="G39" s="2"/>
      <c r="H39" s="2"/>
      <c r="I39" s="2"/>
      <c r="J39" s="2"/>
      <c r="K39" s="2"/>
      <c r="L39" s="2"/>
      <c r="M39" s="2"/>
      <c r="N39" s="2"/>
      <c r="O39" s="2"/>
      <c r="P39" s="2"/>
      <c r="Q39" s="2"/>
      <c r="R39" s="2"/>
      <c r="S39" s="2"/>
      <c r="T39" s="2"/>
      <c r="U39" s="2"/>
      <c r="V39" s="2"/>
      <c r="W39" s="2"/>
      <c r="X39" s="2"/>
      <c r="Y39" s="2"/>
    </row>
    <row r="40" customFormat="false" ht="15.75" hidden="false" customHeight="true" outlineLevel="0" collapsed="false">
      <c r="A40" s="20" t="s">
        <v>56</v>
      </c>
      <c r="B40" s="14" t="n">
        <f aca="false">'Overall Estimates'!C55</f>
        <v>0.677135726985295</v>
      </c>
      <c r="C40" s="14" t="n">
        <f aca="false">'Overall Estimates'!D55</f>
        <v>0.731306585144119</v>
      </c>
      <c r="D40" s="2"/>
      <c r="E40" s="16" t="n">
        <f aca="false">2.20462*B40</f>
        <v>1.49282696642632</v>
      </c>
      <c r="F40" s="16" t="n">
        <f aca="false">2.20462*C40</f>
        <v>1.61225312374043</v>
      </c>
      <c r="G40" s="2"/>
      <c r="H40" s="2"/>
      <c r="I40" s="2"/>
      <c r="J40" s="2"/>
      <c r="K40" s="2"/>
      <c r="L40" s="2"/>
      <c r="M40" s="2"/>
      <c r="N40" s="2"/>
      <c r="O40" s="2"/>
      <c r="P40" s="2"/>
      <c r="Q40" s="2"/>
      <c r="R40" s="2"/>
      <c r="S40" s="2"/>
      <c r="T40" s="2"/>
      <c r="U40" s="2"/>
      <c r="V40" s="2"/>
      <c r="W40" s="2"/>
      <c r="X40" s="2"/>
      <c r="Y40" s="2"/>
    </row>
    <row r="41" customFormat="false" ht="15.75" hidden="false" customHeight="true" outlineLevel="0" collapsed="false">
      <c r="A41" s="20" t="s">
        <v>57</v>
      </c>
      <c r="B41" s="14" t="n">
        <f aca="false">'Overall Estimates'!C56</f>
        <v>0.909327435931252</v>
      </c>
      <c r="C41" s="14" t="n">
        <f aca="false">'Overall Estimates'!D56</f>
        <v>0.982073630805752</v>
      </c>
      <c r="D41" s="2"/>
      <c r="E41" s="16" t="n">
        <f aca="false">2.20462*B41</f>
        <v>2.00472145180276</v>
      </c>
      <c r="F41" s="16" t="n">
        <f aca="false">2.20462*C41</f>
        <v>2.16509916794698</v>
      </c>
      <c r="G41" s="2"/>
      <c r="H41" s="2"/>
      <c r="I41" s="2"/>
      <c r="J41" s="2"/>
      <c r="K41" s="2"/>
      <c r="L41" s="2"/>
      <c r="M41" s="2"/>
      <c r="N41" s="2"/>
      <c r="O41" s="2"/>
      <c r="P41" s="2"/>
      <c r="Q41" s="2"/>
      <c r="R41" s="2"/>
      <c r="S41" s="2"/>
      <c r="T41" s="2"/>
      <c r="U41" s="2"/>
      <c r="V41" s="2"/>
      <c r="W41" s="2"/>
      <c r="X41" s="2"/>
      <c r="Y41" s="2"/>
    </row>
    <row r="42" customFormat="false" ht="15.75" hidden="false" customHeight="true" outlineLevel="0" collapsed="false">
      <c r="A42" s="20" t="s">
        <v>58</v>
      </c>
      <c r="B42" s="14" t="n">
        <f aca="false">'Overall Estimates'!C57</f>
        <v>0.0752102014874227</v>
      </c>
      <c r="C42" s="14" t="n">
        <f aca="false">'Overall Estimates'!D57</f>
        <v>0.0812270176064165</v>
      </c>
      <c r="D42" s="2"/>
      <c r="E42" s="16" t="n">
        <f aca="false">2.20462*B42</f>
        <v>0.165809914403202</v>
      </c>
      <c r="F42" s="16" t="n">
        <f aca="false">2.20462*C42</f>
        <v>0.179074707555458</v>
      </c>
      <c r="G42" s="2"/>
      <c r="H42" s="2"/>
      <c r="I42" s="2"/>
      <c r="J42" s="2"/>
      <c r="K42" s="2"/>
      <c r="L42" s="2"/>
      <c r="M42" s="2"/>
      <c r="N42" s="2"/>
      <c r="O42" s="2"/>
      <c r="P42" s="2"/>
      <c r="Q42" s="2"/>
      <c r="R42" s="2"/>
      <c r="S42" s="2"/>
      <c r="T42" s="2"/>
      <c r="U42" s="2"/>
      <c r="V42" s="2"/>
      <c r="W42" s="2"/>
      <c r="X42" s="2"/>
      <c r="Y42" s="2"/>
    </row>
    <row r="43" customFormat="false" ht="14.15" hidden="false" customHeight="true" outlineLevel="0" collapsed="false">
      <c r="A43" s="20" t="s">
        <v>59</v>
      </c>
      <c r="B43" s="14" t="n">
        <f aca="false">'Overall Estimates'!C58</f>
        <v>3.02393856141079</v>
      </c>
      <c r="C43" s="14" t="n">
        <f aca="false">'Overall Estimates'!D58</f>
        <v>3.26585364632366</v>
      </c>
      <c r="D43" s="29"/>
      <c r="E43" s="16" t="n">
        <f aca="false">2.20462*B43</f>
        <v>6.66663543125746</v>
      </c>
      <c r="F43" s="16" t="n">
        <f aca="false">2.20462*C43</f>
        <v>7.19996626575806</v>
      </c>
      <c r="G43" s="2"/>
      <c r="H43" s="2"/>
      <c r="I43" s="2"/>
      <c r="J43" s="2"/>
      <c r="K43" s="2"/>
      <c r="L43" s="2"/>
      <c r="M43" s="2"/>
      <c r="N43" s="2"/>
      <c r="O43" s="2"/>
      <c r="P43" s="2"/>
      <c r="Q43" s="2"/>
      <c r="R43" s="2"/>
      <c r="S43" s="2"/>
      <c r="T43" s="2"/>
      <c r="U43" s="2"/>
      <c r="V43" s="2"/>
      <c r="W43" s="2"/>
      <c r="X43" s="2"/>
      <c r="Y43" s="2"/>
    </row>
    <row r="44" customFormat="false" ht="15.75" hidden="false" customHeight="true" outlineLevel="0" collapsed="false">
      <c r="A44" s="20" t="s">
        <v>60</v>
      </c>
      <c r="B44" s="14" t="n">
        <f aca="false">'Overall Estimates'!C59</f>
        <v>0.559138878136841</v>
      </c>
      <c r="C44" s="14" t="n">
        <f aca="false">'Overall Estimates'!D59</f>
        <v>0.603869988387788</v>
      </c>
      <c r="D44" s="2"/>
      <c r="E44" s="16" t="n">
        <f aca="false">2.20462*B44</f>
        <v>1.23268875351804</v>
      </c>
      <c r="F44" s="16" t="n">
        <f aca="false">2.20462*C44</f>
        <v>1.33130385379949</v>
      </c>
      <c r="G44" s="2"/>
      <c r="H44" s="2"/>
      <c r="I44" s="2"/>
      <c r="J44" s="2"/>
      <c r="K44" s="2"/>
      <c r="L44" s="2"/>
      <c r="M44" s="2"/>
      <c r="N44" s="2"/>
      <c r="O44" s="2"/>
      <c r="P44" s="2"/>
      <c r="Q44" s="2"/>
      <c r="R44" s="2"/>
      <c r="S44" s="2"/>
      <c r="T44" s="2"/>
      <c r="U44" s="2"/>
      <c r="V44" s="2"/>
      <c r="W44" s="2"/>
      <c r="X44" s="2"/>
      <c r="Y44" s="2"/>
    </row>
    <row r="45" customFormat="false" ht="15.75" hidden="false" customHeight="true" outlineLevel="0" collapsed="false">
      <c r="A45" s="20" t="s">
        <v>61</v>
      </c>
      <c r="B45" s="14" t="n">
        <f aca="false">'Overall Estimates'!C60</f>
        <v>3.97888517048807</v>
      </c>
      <c r="C45" s="14" t="n">
        <f aca="false">'Overall Estimates'!D60</f>
        <v>7.95777034097614</v>
      </c>
      <c r="D45" s="2"/>
      <c r="E45" s="16" t="n">
        <f aca="false">2.20462*B45</f>
        <v>8.7719298245614</v>
      </c>
      <c r="F45" s="16" t="n">
        <f aca="false">2.20462*C45</f>
        <v>17.5438596491228</v>
      </c>
      <c r="G45" s="2"/>
      <c r="H45" s="2"/>
      <c r="I45" s="2"/>
      <c r="J45" s="2"/>
      <c r="K45" s="2"/>
      <c r="L45" s="2"/>
      <c r="M45" s="2"/>
      <c r="N45" s="2"/>
      <c r="O45" s="2"/>
      <c r="P45" s="2"/>
      <c r="Q45" s="2"/>
      <c r="R45" s="2"/>
      <c r="S45" s="2"/>
      <c r="T45" s="2"/>
      <c r="U45" s="2"/>
      <c r="V45" s="2"/>
      <c r="W45" s="2"/>
      <c r="X45" s="2"/>
      <c r="Y45" s="2"/>
    </row>
    <row r="46" customFormat="false" ht="15.75" hidden="false" customHeight="true" outlineLevel="0" collapsed="false">
      <c r="A46" s="20" t="s">
        <v>62</v>
      </c>
      <c r="B46" s="14" t="n">
        <f aca="false">'Overall Estimates'!C61</f>
        <v>0.0734682392995853</v>
      </c>
      <c r="C46" s="14" t="n">
        <f aca="false">'Overall Estimates'!D61</f>
        <v>0.0793456984435522</v>
      </c>
      <c r="D46" s="2"/>
      <c r="E46" s="16" t="n">
        <f aca="false">2.20462*B46</f>
        <v>0.161969549724652</v>
      </c>
      <c r="F46" s="16" t="n">
        <f aca="false">2.20462*C46</f>
        <v>0.174927113702624</v>
      </c>
      <c r="G46" s="2"/>
      <c r="H46" s="2"/>
      <c r="I46" s="2"/>
      <c r="J46" s="2"/>
      <c r="K46" s="2"/>
      <c r="L46" s="2"/>
      <c r="M46" s="2"/>
      <c r="N46" s="2"/>
      <c r="O46" s="2"/>
      <c r="P46" s="2"/>
      <c r="Q46" s="2"/>
      <c r="R46" s="2"/>
      <c r="S46" s="2"/>
      <c r="T46" s="2"/>
      <c r="U46" s="2"/>
      <c r="V46" s="2"/>
      <c r="W46" s="2"/>
      <c r="X46" s="2"/>
      <c r="Y46" s="2"/>
    </row>
    <row r="47" customFormat="false" ht="15.75" hidden="false" customHeight="true" outlineLevel="0" collapsed="false">
      <c r="A47" s="20" t="s">
        <v>63</v>
      </c>
      <c r="B47" s="14" t="n">
        <f aca="false">'Overall Estimates'!C62</f>
        <v>1.92516487637812</v>
      </c>
      <c r="C47" s="14" t="n">
        <f aca="false">'Overall Estimates'!D62</f>
        <v>19.4041465152039</v>
      </c>
      <c r="D47" s="2"/>
      <c r="E47" s="16" t="n">
        <f aca="false">2.20462*B47</f>
        <v>4.24425698976073</v>
      </c>
      <c r="F47" s="16" t="n">
        <f aca="false">2.20462*C47</f>
        <v>42.7787694903487</v>
      </c>
      <c r="G47" s="2"/>
      <c r="H47" s="2"/>
      <c r="I47" s="2"/>
      <c r="J47" s="2"/>
      <c r="K47" s="2"/>
      <c r="L47" s="2"/>
      <c r="M47" s="2"/>
      <c r="N47" s="2"/>
      <c r="O47" s="2"/>
      <c r="P47" s="2"/>
      <c r="Q47" s="2"/>
      <c r="R47" s="2"/>
      <c r="S47" s="2"/>
      <c r="T47" s="2"/>
      <c r="U47" s="2"/>
      <c r="V47" s="2"/>
      <c r="W47" s="2"/>
      <c r="X47" s="2"/>
      <c r="Y47" s="2"/>
    </row>
    <row r="48" customFormat="false" ht="15.75" hidden="false" customHeight="true" outlineLevel="0" collapsed="false">
      <c r="A48" s="20" t="s">
        <v>64</v>
      </c>
      <c r="B48" s="14" t="n">
        <f aca="false">'Overall Estimates'!C63</f>
        <v>1.23932488916841</v>
      </c>
      <c r="C48" s="14" t="n">
        <f aca="false">'Overall Estimates'!D63</f>
        <v>1.33847088030189</v>
      </c>
      <c r="D48" s="2"/>
      <c r="E48" s="16" t="n">
        <f aca="false">2.20462*B48</f>
        <v>2.73224043715847</v>
      </c>
      <c r="F48" s="16" t="n">
        <f aca="false">2.20462*C48</f>
        <v>2.95081967213115</v>
      </c>
      <c r="G48" s="2"/>
      <c r="H48" s="2"/>
      <c r="I48" s="2"/>
      <c r="J48" s="2"/>
      <c r="K48" s="2"/>
      <c r="L48" s="2"/>
      <c r="M48" s="2"/>
      <c r="N48" s="2"/>
      <c r="O48" s="2"/>
      <c r="P48" s="2"/>
      <c r="Q48" s="2"/>
      <c r="R48" s="2"/>
      <c r="S48" s="2"/>
      <c r="T48" s="2"/>
      <c r="U48" s="2"/>
      <c r="V48" s="2"/>
      <c r="W48" s="2"/>
      <c r="X48" s="2"/>
      <c r="Y48" s="2"/>
    </row>
    <row r="49" customFormat="false" ht="15.75" hidden="false" customHeight="true" outlineLevel="0" collapsed="false">
      <c r="A49" s="20" t="s">
        <v>65</v>
      </c>
      <c r="B49" s="14" t="n">
        <f aca="false">'Overall Estimates'!C64</f>
        <v>1.98291982266946</v>
      </c>
      <c r="C49" s="14" t="n">
        <f aca="false">'Overall Estimates'!D64</f>
        <v>20.4254750097145</v>
      </c>
      <c r="D49" s="2"/>
      <c r="E49" s="16" t="n">
        <f aca="false">2.20462*B49</f>
        <v>4.37158469945355</v>
      </c>
      <c r="F49" s="16" t="n">
        <f aca="false">2.20462*C49</f>
        <v>45.0304107159168</v>
      </c>
      <c r="G49" s="2"/>
      <c r="H49" s="2"/>
      <c r="I49" s="2"/>
      <c r="J49" s="2"/>
      <c r="K49" s="2"/>
      <c r="L49" s="2"/>
      <c r="M49" s="2"/>
      <c r="N49" s="2"/>
      <c r="O49" s="2"/>
      <c r="P49" s="2"/>
      <c r="Q49" s="2"/>
      <c r="R49" s="2"/>
      <c r="S49" s="2"/>
      <c r="T49" s="2"/>
      <c r="U49" s="2"/>
      <c r="V49" s="2"/>
      <c r="W49" s="2"/>
      <c r="X49" s="2"/>
      <c r="Y49" s="2"/>
    </row>
    <row r="50" customFormat="false" ht="15.75" hidden="false" customHeight="true" outlineLevel="0" collapsed="false">
      <c r="A50" s="20" t="s">
        <v>66</v>
      </c>
      <c r="B50" s="14" t="n">
        <f aca="false">'Overall Estimates'!C65</f>
        <v>0.931386002179354</v>
      </c>
      <c r="C50" s="14" t="n">
        <f aca="false">'Overall Estimates'!D65</f>
        <v>3.5307295843793</v>
      </c>
      <c r="D50" s="2"/>
      <c r="E50" s="16" t="n">
        <f aca="false">2.20462*B50</f>
        <v>2.05335220812465</v>
      </c>
      <c r="F50" s="16" t="n">
        <f aca="false">2.20462*C50</f>
        <v>7.78391705631429</v>
      </c>
      <c r="G50" s="2"/>
      <c r="H50" s="2"/>
      <c r="I50" s="2"/>
      <c r="J50" s="2"/>
      <c r="K50" s="2"/>
      <c r="L50" s="2"/>
      <c r="M50" s="2"/>
      <c r="N50" s="2"/>
      <c r="O50" s="2"/>
      <c r="P50" s="2"/>
      <c r="Q50" s="2"/>
      <c r="R50" s="2"/>
      <c r="S50" s="2"/>
      <c r="T50" s="2"/>
      <c r="U50" s="2"/>
      <c r="V50" s="2"/>
      <c r="W50" s="2"/>
      <c r="X50" s="2"/>
      <c r="Y50" s="2"/>
    </row>
    <row r="51" customFormat="false" ht="15.75" hidden="false" customHeight="true" outlineLevel="0" collapsed="false">
      <c r="A51" s="20" t="s">
        <v>67</v>
      </c>
      <c r="B51" s="14" t="n">
        <f aca="false">'Overall Estimates'!C66</f>
        <v>1.01622525277437</v>
      </c>
      <c r="C51" s="14" t="n">
        <f aca="false">'Overall Estimates'!D66</f>
        <v>1.09752327299632</v>
      </c>
      <c r="D51" s="2"/>
      <c r="E51" s="16" t="n">
        <f aca="false">2.20462*B51</f>
        <v>2.24039051677143</v>
      </c>
      <c r="F51" s="16" t="n">
        <f aca="false">2.20462*C51</f>
        <v>2.41962175811314</v>
      </c>
      <c r="G51" s="2"/>
      <c r="H51" s="2"/>
      <c r="I51" s="2"/>
      <c r="J51" s="2"/>
      <c r="K51" s="2"/>
      <c r="L51" s="2"/>
      <c r="M51" s="2"/>
      <c r="N51" s="2"/>
      <c r="O51" s="2"/>
      <c r="P51" s="2"/>
      <c r="Q51" s="2"/>
      <c r="R51" s="2"/>
      <c r="S51" s="2"/>
      <c r="T51" s="2"/>
      <c r="U51" s="2"/>
      <c r="V51" s="2"/>
      <c r="W51" s="2"/>
      <c r="X51" s="2"/>
      <c r="Y51" s="2"/>
    </row>
    <row r="52" customFormat="false" ht="15.75" hidden="false" customHeight="true" outlineLevel="0" collapsed="false">
      <c r="A52" s="20" t="s">
        <v>68</v>
      </c>
      <c r="B52" s="14" t="n">
        <f aca="false">'Overall Estimates'!C67</f>
        <v>2.04326773580012</v>
      </c>
      <c r="C52" s="14" t="n">
        <f aca="false">'Overall Estimates'!D67</f>
        <v>3.73145500361154</v>
      </c>
      <c r="D52" s="2"/>
      <c r="E52" s="16" t="n">
        <f aca="false">2.20462*B52</f>
        <v>4.50462891569967</v>
      </c>
      <c r="F52" s="16" t="n">
        <f aca="false">2.20462*C52</f>
        <v>8.22644033006208</v>
      </c>
      <c r="G52" s="2"/>
      <c r="H52" s="2"/>
      <c r="I52" s="2"/>
      <c r="J52" s="2"/>
      <c r="K52" s="2"/>
      <c r="L52" s="2"/>
      <c r="M52" s="2"/>
      <c r="N52" s="2"/>
      <c r="O52" s="2"/>
      <c r="P52" s="2"/>
      <c r="Q52" s="2"/>
      <c r="R52" s="2"/>
      <c r="S52" s="2"/>
      <c r="T52" s="2"/>
      <c r="U52" s="2"/>
      <c r="V52" s="2"/>
      <c r="W52" s="2"/>
      <c r="X52" s="2"/>
      <c r="Y52" s="2"/>
    </row>
    <row r="53" customFormat="false" ht="15.75" hidden="false" customHeight="true" outlineLevel="0" collapsed="false">
      <c r="A53" s="20" t="s">
        <v>69</v>
      </c>
      <c r="B53" s="14" t="n">
        <f aca="false">'Overall Estimates'!C68</f>
        <v>2.2330063680215</v>
      </c>
      <c r="C53" s="14" t="n">
        <f aca="false">'Overall Estimates'!D68</f>
        <v>2.41164687746322</v>
      </c>
      <c r="D53" s="2"/>
      <c r="E53" s="16" t="n">
        <f aca="false">2.20462*B53</f>
        <v>4.92293049906755</v>
      </c>
      <c r="F53" s="16" t="n">
        <f aca="false">2.20462*C53</f>
        <v>5.31676493899296</v>
      </c>
      <c r="G53" s="2"/>
      <c r="H53" s="2"/>
      <c r="I53" s="2"/>
      <c r="J53" s="2"/>
      <c r="K53" s="2"/>
      <c r="L53" s="2"/>
      <c r="M53" s="2"/>
      <c r="N53" s="2"/>
      <c r="O53" s="2"/>
      <c r="P53" s="2"/>
      <c r="Q53" s="2"/>
      <c r="R53" s="2"/>
      <c r="S53" s="2"/>
      <c r="T53" s="2"/>
      <c r="U53" s="2"/>
      <c r="V53" s="2"/>
      <c r="W53" s="2"/>
      <c r="X53" s="2"/>
      <c r="Y53" s="2"/>
    </row>
    <row r="54" customFormat="false" ht="15.75" hidden="false" customHeight="true" outlineLevel="0" collapsed="false">
      <c r="A54" s="20" t="s">
        <v>70</v>
      </c>
      <c r="B54" s="14" t="n">
        <f aca="false">'Overall Estimates'!C69</f>
        <v>0.959781865077528</v>
      </c>
      <c r="C54" s="14" t="n">
        <f aca="false">'Overall Estimates'!D69</f>
        <v>22.6752107898335</v>
      </c>
      <c r="D54" s="2"/>
      <c r="E54" s="16" t="n">
        <f aca="false">2.20462*B54</f>
        <v>2.11595429538722</v>
      </c>
      <c r="F54" s="16" t="n">
        <f aca="false">2.20462*C54</f>
        <v>49.9902232114827</v>
      </c>
      <c r="G54" s="2"/>
      <c r="H54" s="2"/>
      <c r="I54" s="2"/>
      <c r="J54" s="2"/>
      <c r="K54" s="2"/>
      <c r="L54" s="2"/>
      <c r="M54" s="2"/>
      <c r="N54" s="2"/>
      <c r="O54" s="2"/>
      <c r="P54" s="2"/>
      <c r="Q54" s="2"/>
      <c r="R54" s="2"/>
      <c r="S54" s="2"/>
      <c r="T54" s="2"/>
      <c r="U54" s="2"/>
      <c r="V54" s="2"/>
      <c r="W54" s="2"/>
      <c r="X54" s="2"/>
      <c r="Y54" s="2"/>
    </row>
    <row r="55" customFormat="false" ht="15.75" hidden="false" customHeight="true" outlineLevel="0" collapsed="false">
      <c r="A55" s="20" t="s">
        <v>71</v>
      </c>
      <c r="B55" s="14" t="n">
        <f aca="false">'Overall Estimates'!C70</f>
        <v>0.142080051759977</v>
      </c>
      <c r="C55" s="14" t="n">
        <f aca="false">'Overall Estimates'!D70</f>
        <v>17.033581851049</v>
      </c>
      <c r="D55" s="2"/>
      <c r="E55" s="16" t="n">
        <f aca="false">2.20462*B55</f>
        <v>0.31323252371108</v>
      </c>
      <c r="F55" s="16" t="n">
        <f aca="false">2.20462*C55</f>
        <v>37.5525752204595</v>
      </c>
      <c r="G55" s="2"/>
      <c r="H55" s="2"/>
      <c r="I55" s="2"/>
      <c r="J55" s="2"/>
      <c r="K55" s="2"/>
      <c r="L55" s="2"/>
      <c r="M55" s="2"/>
      <c r="N55" s="2"/>
      <c r="O55" s="2"/>
      <c r="P55" s="2"/>
      <c r="Q55" s="2"/>
      <c r="R55" s="2"/>
      <c r="S55" s="2"/>
      <c r="T55" s="2"/>
      <c r="U55" s="2"/>
      <c r="V55" s="2"/>
      <c r="W55" s="2"/>
      <c r="X55" s="2"/>
      <c r="Y55" s="2"/>
    </row>
    <row r="56" customFormat="false" ht="15.75" hidden="false" customHeight="true" outlineLevel="0" collapsed="false">
      <c r="A56" s="20" t="s">
        <v>72</v>
      </c>
      <c r="B56" s="14" t="n">
        <f aca="false">'Overall Estimates'!C71</f>
        <v>0.213223662521876</v>
      </c>
      <c r="C56" s="14" t="n">
        <f aca="false">'Overall Estimates'!D71</f>
        <v>0.230281555523626</v>
      </c>
      <c r="D56" s="2"/>
      <c r="E56" s="16" t="n">
        <f aca="false">2.20462*B56</f>
        <v>0.470077150868977</v>
      </c>
      <c r="F56" s="16" t="n">
        <f aca="false">2.20462*C56</f>
        <v>0.507683322938495</v>
      </c>
      <c r="G56" s="2"/>
      <c r="H56" s="2"/>
      <c r="I56" s="2"/>
      <c r="J56" s="2"/>
      <c r="K56" s="2"/>
      <c r="L56" s="2"/>
      <c r="M56" s="2"/>
      <c r="N56" s="2"/>
      <c r="O56" s="2"/>
      <c r="P56" s="2"/>
      <c r="Q56" s="2"/>
      <c r="R56" s="2"/>
      <c r="S56" s="2"/>
      <c r="T56" s="2"/>
      <c r="U56" s="2"/>
      <c r="V56" s="2"/>
      <c r="W56" s="2"/>
      <c r="X56" s="2"/>
      <c r="Y56" s="2"/>
    </row>
    <row r="57" customFormat="false" ht="15.75" hidden="false" customHeight="true" outlineLevel="0" collapsed="false">
      <c r="A57" s="20" t="s">
        <v>73</v>
      </c>
      <c r="B57" s="14" t="n">
        <f aca="false">'Overall Estimates'!C72</f>
        <v>0.128713893552752</v>
      </c>
      <c r="C57" s="14" t="n">
        <f aca="false">'Overall Estimates'!D72</f>
        <v>22.4097888467654</v>
      </c>
      <c r="D57" s="2"/>
      <c r="E57" s="16" t="n">
        <f aca="false">2.20462*B57</f>
        <v>0.283765224004268</v>
      </c>
      <c r="F57" s="16" t="n">
        <f aca="false">2.20462*C57</f>
        <v>49.4050686873559</v>
      </c>
      <c r="G57" s="2"/>
      <c r="H57" s="2"/>
      <c r="I57" s="2"/>
      <c r="J57" s="2"/>
      <c r="K57" s="2"/>
      <c r="L57" s="2"/>
      <c r="M57" s="2"/>
      <c r="N57" s="2"/>
      <c r="O57" s="2"/>
      <c r="P57" s="2"/>
      <c r="Q57" s="2"/>
      <c r="R57" s="2"/>
      <c r="S57" s="2"/>
      <c r="T57" s="2"/>
      <c r="U57" s="2"/>
      <c r="V57" s="2"/>
      <c r="W57" s="2"/>
      <c r="X57" s="2"/>
      <c r="Y57" s="2"/>
    </row>
    <row r="58" customFormat="false" ht="15.75" hidden="false" customHeight="true" outlineLevel="0" collapsed="false">
      <c r="A58" s="20" t="s">
        <v>74</v>
      </c>
      <c r="B58" s="14" t="n">
        <f aca="false">'Overall Estimates'!C73</f>
        <v>7.49594221411004</v>
      </c>
      <c r="C58" s="14" t="n">
        <f aca="false">'Overall Estimates'!D73</f>
        <v>8.09561759123885</v>
      </c>
      <c r="D58" s="2"/>
      <c r="E58" s="16" t="n">
        <f aca="false">2.20462*B58</f>
        <v>16.5257041240713</v>
      </c>
      <c r="F58" s="16" t="n">
        <f aca="false">2.20462*C58</f>
        <v>17.847760453997</v>
      </c>
      <c r="G58" s="2"/>
      <c r="H58" s="2"/>
      <c r="I58" s="2"/>
      <c r="J58" s="2"/>
      <c r="K58" s="2"/>
      <c r="L58" s="2"/>
      <c r="M58" s="2"/>
      <c r="N58" s="2"/>
      <c r="O58" s="2"/>
      <c r="P58" s="2"/>
      <c r="Q58" s="2"/>
      <c r="R58" s="2"/>
      <c r="S58" s="2"/>
      <c r="T58" s="2"/>
      <c r="U58" s="2"/>
      <c r="V58" s="2"/>
      <c r="W58" s="2"/>
      <c r="X58" s="2"/>
      <c r="Y58" s="2"/>
    </row>
    <row r="59" customFormat="false" ht="15.75" hidden="false" customHeight="true" outlineLevel="0" collapsed="false">
      <c r="A59" s="20" t="s">
        <v>75</v>
      </c>
      <c r="B59" s="14" t="n">
        <f aca="false">'Overall Estimates'!C74</f>
        <v>10.1351110165966</v>
      </c>
      <c r="C59" s="14" t="n">
        <f aca="false">'Overall Estimates'!D74</f>
        <v>10.9459198979243</v>
      </c>
      <c r="D59" s="2"/>
      <c r="E59" s="16" t="n">
        <f aca="false">2.20462*B59</f>
        <v>22.3440684494092</v>
      </c>
      <c r="F59" s="16" t="n">
        <f aca="false">2.20462*C59</f>
        <v>24.1315939253619</v>
      </c>
      <c r="G59" s="2"/>
      <c r="H59" s="2"/>
      <c r="I59" s="2"/>
      <c r="J59" s="2"/>
      <c r="K59" s="2"/>
      <c r="L59" s="2"/>
      <c r="M59" s="2"/>
      <c r="N59" s="2"/>
      <c r="O59" s="2"/>
      <c r="P59" s="2"/>
      <c r="Q59" s="2"/>
      <c r="R59" s="2"/>
      <c r="S59" s="2"/>
      <c r="T59" s="2"/>
      <c r="U59" s="2"/>
      <c r="V59" s="2"/>
      <c r="W59" s="2"/>
      <c r="X59" s="2"/>
      <c r="Y59" s="2"/>
    </row>
    <row r="60" customFormat="false" ht="15.75" hidden="false" customHeight="true" outlineLevel="0" collapsed="false">
      <c r="A60" s="20" t="s">
        <v>76</v>
      </c>
      <c r="B60" s="14" t="n">
        <f aca="false">'Overall Estimates'!C75</f>
        <v>39.7888517048807</v>
      </c>
      <c r="C60" s="14" t="n">
        <f aca="false">'Overall Estimates'!D75</f>
        <v>68.4822273101474</v>
      </c>
      <c r="D60" s="2"/>
      <c r="E60" s="16" t="n">
        <f aca="false">2.20462*B60</f>
        <v>87.719298245614</v>
      </c>
      <c r="F60" s="16" t="n">
        <f aca="false">2.20462*C60</f>
        <v>150.977287972497</v>
      </c>
      <c r="G60" s="2"/>
      <c r="H60" s="2"/>
      <c r="I60" s="2"/>
      <c r="J60" s="2"/>
      <c r="K60" s="2"/>
      <c r="L60" s="2"/>
      <c r="M60" s="2"/>
      <c r="N60" s="2"/>
      <c r="O60" s="2"/>
      <c r="P60" s="2"/>
      <c r="Q60" s="2"/>
      <c r="R60" s="2"/>
      <c r="S60" s="2"/>
      <c r="T60" s="2"/>
      <c r="U60" s="2"/>
      <c r="V60" s="2"/>
      <c r="W60" s="2"/>
      <c r="X60" s="2"/>
      <c r="Y60" s="2"/>
    </row>
    <row r="61" customFormat="false" ht="15.75" hidden="false" customHeight="true" outlineLevel="0" collapsed="false">
      <c r="A61" s="20" t="s">
        <v>77</v>
      </c>
      <c r="B61" s="14" t="n">
        <f aca="false">'Overall Estimates'!C76</f>
        <v>39.7888517048807</v>
      </c>
      <c r="C61" s="14" t="n">
        <f aca="false">'Overall Estimates'!D76</f>
        <v>42.9719598412711</v>
      </c>
      <c r="D61" s="2"/>
      <c r="E61" s="16" t="n">
        <f aca="false">2.20462*B61</f>
        <v>87.719298245614</v>
      </c>
      <c r="F61" s="16" t="n">
        <f aca="false">2.20462*C61</f>
        <v>94.7368421052632</v>
      </c>
      <c r="G61" s="2"/>
      <c r="H61" s="2"/>
      <c r="I61" s="2"/>
      <c r="J61" s="2"/>
      <c r="K61" s="2"/>
      <c r="L61" s="2"/>
      <c r="M61" s="2"/>
      <c r="N61" s="2"/>
      <c r="O61" s="2"/>
      <c r="P61" s="2"/>
      <c r="Q61" s="2"/>
      <c r="R61" s="2"/>
      <c r="S61" s="2"/>
      <c r="T61" s="2"/>
      <c r="U61" s="2"/>
      <c r="V61" s="2"/>
      <c r="W61" s="2"/>
      <c r="X61" s="2"/>
      <c r="Y61" s="2"/>
    </row>
    <row r="62" customFormat="false" ht="15.75" hidden="false" customHeight="true" outlineLevel="0" collapsed="false">
      <c r="A62" s="20" t="s">
        <v>78</v>
      </c>
      <c r="B62" s="14" t="n">
        <f aca="false">'Overall Estimates'!C77</f>
        <v>39.7888517048807</v>
      </c>
      <c r="C62" s="14" t="n">
        <f aca="false">'Overall Estimates'!D77</f>
        <v>72.3955670718089</v>
      </c>
      <c r="D62" s="2"/>
      <c r="E62" s="16" t="n">
        <f aca="false">2.20462*B62</f>
        <v>87.719298245614</v>
      </c>
      <c r="F62" s="16" t="n">
        <f aca="false">2.20462*C62</f>
        <v>159.604715077851</v>
      </c>
      <c r="G62" s="2"/>
      <c r="H62" s="2"/>
      <c r="I62" s="2"/>
      <c r="J62" s="2"/>
      <c r="K62" s="2"/>
      <c r="L62" s="2"/>
      <c r="M62" s="2"/>
      <c r="N62" s="2"/>
      <c r="O62" s="2"/>
      <c r="P62" s="2"/>
      <c r="Q62" s="2"/>
      <c r="R62" s="2"/>
      <c r="S62" s="2"/>
      <c r="T62" s="2"/>
      <c r="U62" s="2"/>
      <c r="V62" s="2"/>
      <c r="W62" s="2"/>
      <c r="X62" s="2"/>
      <c r="Y62" s="2"/>
    </row>
    <row r="63" customFormat="false" ht="15.75" hidden="false" customHeight="true" outlineLevel="0" collapsed="false">
      <c r="A63" s="20" t="s">
        <v>79</v>
      </c>
      <c r="B63" s="14" t="n">
        <f aca="false">'Overall Estimates'!C78</f>
        <v>16.6269846783951</v>
      </c>
      <c r="C63" s="14" t="n">
        <f aca="false">'Overall Estimates'!D78</f>
        <v>17.9571434526667</v>
      </c>
      <c r="D63" s="2"/>
      <c r="E63" s="16" t="n">
        <f aca="false">2.20462*B63</f>
        <v>36.6561829616834</v>
      </c>
      <c r="F63" s="16" t="n">
        <f aca="false">2.20462*C63</f>
        <v>39.5886775986181</v>
      </c>
      <c r="G63" s="2"/>
      <c r="H63" s="2"/>
      <c r="I63" s="2"/>
      <c r="J63" s="2"/>
      <c r="K63" s="2"/>
      <c r="L63" s="2"/>
      <c r="M63" s="2"/>
      <c r="N63" s="2"/>
      <c r="O63" s="2"/>
      <c r="P63" s="2"/>
      <c r="Q63" s="2"/>
      <c r="R63" s="2"/>
      <c r="S63" s="2"/>
      <c r="T63" s="2"/>
      <c r="U63" s="2"/>
      <c r="V63" s="2"/>
      <c r="W63" s="2"/>
      <c r="X63" s="2"/>
      <c r="Y63" s="2"/>
    </row>
    <row r="64" customFormat="false" ht="15.75" hidden="false" customHeight="true" outlineLevel="0" collapsed="false">
      <c r="A64" s="20" t="s">
        <v>80</v>
      </c>
      <c r="B64" s="14" t="n">
        <f aca="false">'Overall Estimates'!C79</f>
        <v>2.54061999531686</v>
      </c>
      <c r="C64" s="14" t="n">
        <f aca="false">'Overall Estimates'!D79</f>
        <v>2.74386959494221</v>
      </c>
      <c r="D64" s="2"/>
      <c r="E64" s="16" t="n">
        <f aca="false">2.20462*B64</f>
        <v>5.60110165407545</v>
      </c>
      <c r="F64" s="16" t="n">
        <f aca="false">2.20462*C64</f>
        <v>6.04918978640149</v>
      </c>
      <c r="G64" s="2"/>
      <c r="H64" s="2"/>
      <c r="I64" s="2"/>
      <c r="J64" s="2"/>
      <c r="K64" s="2"/>
      <c r="L64" s="2"/>
      <c r="M64" s="2"/>
      <c r="N64" s="2"/>
      <c r="O64" s="2"/>
      <c r="P64" s="2"/>
      <c r="Q64" s="2"/>
      <c r="R64" s="2"/>
      <c r="S64" s="2"/>
      <c r="T64" s="2"/>
      <c r="U64" s="2"/>
      <c r="V64" s="2"/>
      <c r="W64" s="2"/>
      <c r="X64" s="2"/>
      <c r="Y64" s="2"/>
    </row>
    <row r="65" customFormat="false" ht="15.75" hidden="false" customHeight="true" outlineLevel="0" collapsed="false">
      <c r="A65" s="20" t="s">
        <v>81</v>
      </c>
      <c r="B65" s="14" t="n">
        <f aca="false">'Overall Estimates'!C80</f>
        <v>0.419294610312109</v>
      </c>
      <c r="C65" s="14" t="n">
        <f aca="false">'Overall Estimates'!D80</f>
        <v>0.838589220624218</v>
      </c>
      <c r="D65" s="2"/>
      <c r="E65" s="16" t="n">
        <f aca="false">2.20462*B65</f>
        <v>0.924385283786282</v>
      </c>
      <c r="F65" s="16" t="n">
        <f aca="false">2.20462*C65</f>
        <v>1.84877056757256</v>
      </c>
      <c r="G65" s="2"/>
      <c r="H65" s="2"/>
      <c r="I65" s="2"/>
      <c r="J65" s="2"/>
      <c r="K65" s="2"/>
      <c r="L65" s="2"/>
      <c r="M65" s="2"/>
      <c r="N65" s="2"/>
      <c r="O65" s="2"/>
      <c r="P65" s="2"/>
      <c r="Q65" s="2"/>
      <c r="R65" s="2"/>
      <c r="S65" s="2"/>
      <c r="T65" s="2"/>
      <c r="U65" s="2"/>
      <c r="V65" s="2"/>
      <c r="W65" s="2"/>
      <c r="X65" s="2"/>
      <c r="Y65" s="2"/>
    </row>
    <row r="66" customFormat="false" ht="15.75" hidden="false" customHeight="true" outlineLevel="0" collapsed="false">
      <c r="A66" s="20" t="s">
        <v>82</v>
      </c>
      <c r="B66" s="14" t="n">
        <f aca="false">'Overall Estimates'!C81</f>
        <v>2.02350289388329</v>
      </c>
      <c r="C66" s="14" t="n">
        <f aca="false">'Overall Estimates'!D81</f>
        <v>6.61996680272443</v>
      </c>
      <c r="D66" s="2"/>
      <c r="E66" s="16" t="n">
        <f aca="false">2.20462*B66</f>
        <v>4.46105494991297</v>
      </c>
      <c r="F66" s="16" t="n">
        <f aca="false">2.20462*C66</f>
        <v>14.5945112126223</v>
      </c>
      <c r="G66" s="2"/>
      <c r="H66" s="2"/>
      <c r="I66" s="2"/>
      <c r="J66" s="2"/>
      <c r="K66" s="2"/>
      <c r="L66" s="2"/>
      <c r="M66" s="2"/>
      <c r="N66" s="2"/>
      <c r="O66" s="2"/>
      <c r="P66" s="2"/>
      <c r="Q66" s="2"/>
      <c r="R66" s="2"/>
      <c r="S66" s="2"/>
      <c r="T66" s="2"/>
      <c r="U66" s="2"/>
      <c r="V66" s="2"/>
      <c r="W66" s="2"/>
      <c r="X66" s="2"/>
      <c r="Y66" s="2"/>
    </row>
    <row r="67" customFormat="false" ht="15.75" hidden="false" customHeight="true" outlineLevel="0" collapsed="false">
      <c r="A67" s="20" t="s">
        <v>83</v>
      </c>
      <c r="B67" s="14" t="n">
        <f aca="false">'Overall Estimates'!C82</f>
        <v>0.636172502357943</v>
      </c>
      <c r="C67" s="14" t="n">
        <f aca="false">'Overall Estimates'!D82</f>
        <v>0.687066302546578</v>
      </c>
      <c r="D67" s="2"/>
      <c r="E67" s="16" t="n">
        <f aca="false">2.20462*B67</f>
        <v>1.40251862214837</v>
      </c>
      <c r="F67" s="16" t="n">
        <f aca="false">2.20462*C67</f>
        <v>1.51472011192024</v>
      </c>
      <c r="G67" s="2"/>
      <c r="H67" s="2"/>
      <c r="I67" s="2"/>
      <c r="J67" s="2"/>
      <c r="K67" s="2"/>
      <c r="L67" s="2"/>
      <c r="M67" s="2"/>
      <c r="N67" s="2"/>
      <c r="O67" s="2"/>
      <c r="P67" s="2"/>
      <c r="Q67" s="2"/>
      <c r="R67" s="2"/>
      <c r="S67" s="2"/>
      <c r="T67" s="2"/>
      <c r="U67" s="2"/>
      <c r="V67" s="2"/>
      <c r="W67" s="2"/>
      <c r="X67" s="2"/>
      <c r="Y67" s="2"/>
    </row>
    <row r="68" customFormat="false" ht="15.75" hidden="false" customHeight="true" outlineLevel="0" collapsed="false">
      <c r="A68" s="20" t="s">
        <v>84</v>
      </c>
      <c r="B68" s="14" t="n">
        <f aca="false">'Overall Estimates'!C83</f>
        <v>2.32853880640726</v>
      </c>
      <c r="C68" s="14" t="n">
        <f aca="false">'Overall Estimates'!D83</f>
        <v>7.3188586139179</v>
      </c>
      <c r="D68" s="2"/>
      <c r="E68" s="16" t="n">
        <f aca="false">2.20462*B68</f>
        <v>5.13354322338156</v>
      </c>
      <c r="F68" s="16" t="n">
        <f aca="false">2.20462*C68</f>
        <v>16.1353020774157</v>
      </c>
      <c r="G68" s="2"/>
      <c r="H68" s="2"/>
      <c r="I68" s="2"/>
      <c r="J68" s="2"/>
      <c r="K68" s="2"/>
      <c r="L68" s="2"/>
      <c r="M68" s="2"/>
      <c r="N68" s="2"/>
      <c r="O68" s="2"/>
      <c r="P68" s="2"/>
      <c r="Q68" s="2"/>
      <c r="R68" s="2"/>
      <c r="S68" s="2"/>
      <c r="T68" s="2"/>
      <c r="U68" s="2"/>
      <c r="V68" s="2"/>
      <c r="W68" s="2"/>
      <c r="X68" s="2"/>
      <c r="Y68" s="2"/>
    </row>
    <row r="69" customFormat="false" ht="15.75" hidden="false" customHeight="true" outlineLevel="0" collapsed="false">
      <c r="A69" s="20" t="s">
        <v>85</v>
      </c>
      <c r="B69" s="14" t="n">
        <f aca="false">'Overall Estimates'!C84</f>
        <v>0.270078723894358</v>
      </c>
      <c r="C69" s="14" t="n">
        <f aca="false">'Overall Estimates'!D84</f>
        <v>20.1665894216482</v>
      </c>
      <c r="D69" s="2"/>
      <c r="E69" s="16" t="n">
        <f aca="false">2.20462*B69</f>
        <v>0.595420956271979</v>
      </c>
      <c r="F69" s="16" t="n">
        <f aca="false">2.20462*C69</f>
        <v>44.459666370754</v>
      </c>
      <c r="G69" s="2"/>
      <c r="H69" s="2"/>
      <c r="I69" s="2"/>
      <c r="J69" s="2"/>
      <c r="K69" s="2"/>
      <c r="L69" s="2"/>
      <c r="M69" s="2"/>
      <c r="N69" s="2"/>
      <c r="O69" s="2"/>
      <c r="P69" s="2"/>
      <c r="Q69" s="2"/>
      <c r="R69" s="2"/>
      <c r="S69" s="2"/>
      <c r="T69" s="2"/>
      <c r="U69" s="2"/>
      <c r="V69" s="2"/>
      <c r="W69" s="2"/>
      <c r="X69" s="2"/>
      <c r="Y69" s="2"/>
    </row>
    <row r="70" customFormat="false" ht="15.75" hidden="false" customHeight="true" outlineLevel="0" collapsed="false">
      <c r="A70" s="20" t="s">
        <v>86</v>
      </c>
      <c r="B70" s="14" t="n">
        <f aca="false">'Overall Estimates'!C85</f>
        <v>0.158749437231882</v>
      </c>
      <c r="C70" s="14" t="n">
        <f aca="false">'Overall Estimates'!D85</f>
        <v>0.171449392210432</v>
      </c>
      <c r="D70" s="2"/>
      <c r="E70" s="16" t="n">
        <f aca="false">2.20462*B70</f>
        <v>0.349982184310151</v>
      </c>
      <c r="F70" s="16" t="n">
        <f aca="false">2.20462*C70</f>
        <v>0.377980759054963</v>
      </c>
      <c r="G70" s="2"/>
      <c r="H70" s="2"/>
      <c r="I70" s="2"/>
      <c r="J70" s="2"/>
      <c r="K70" s="2"/>
      <c r="L70" s="2"/>
      <c r="M70" s="2"/>
      <c r="N70" s="2"/>
      <c r="O70" s="2"/>
      <c r="P70" s="2"/>
      <c r="Q70" s="2"/>
      <c r="R70" s="2"/>
      <c r="S70" s="2"/>
      <c r="T70" s="2"/>
      <c r="U70" s="2"/>
      <c r="V70" s="2"/>
      <c r="W70" s="2"/>
      <c r="X70" s="2"/>
      <c r="Y70" s="2"/>
    </row>
    <row r="71" customFormat="false" ht="15.75" hidden="false" customHeight="true" outlineLevel="0" collapsed="false">
      <c r="A71" s="20" t="s">
        <v>87</v>
      </c>
      <c r="B71" s="14" t="n">
        <f aca="false">'Overall Estimates'!C86</f>
        <v>0.2976477906955</v>
      </c>
      <c r="C71" s="14" t="n">
        <f aca="false">'Overall Estimates'!D86</f>
        <v>22.8567678352078</v>
      </c>
      <c r="D71" s="2"/>
      <c r="E71" s="16" t="n">
        <f aca="false">2.20462*B71</f>
        <v>0.656200272323113</v>
      </c>
      <c r="F71" s="16" t="n">
        <f aca="false">2.20462*C71</f>
        <v>50.3904875048558</v>
      </c>
      <c r="G71" s="2"/>
      <c r="H71" s="2"/>
      <c r="I71" s="2"/>
      <c r="J71" s="2"/>
      <c r="K71" s="2"/>
      <c r="L71" s="2"/>
      <c r="M71" s="2"/>
      <c r="N71" s="2"/>
      <c r="O71" s="2"/>
      <c r="P71" s="2"/>
      <c r="Q71" s="2"/>
      <c r="R71" s="2"/>
      <c r="S71" s="2"/>
      <c r="T71" s="2"/>
      <c r="U71" s="2"/>
      <c r="V71" s="2"/>
      <c r="W71" s="2"/>
      <c r="X71" s="2"/>
      <c r="Y71" s="2"/>
    </row>
    <row r="72" customFormat="false" ht="15.75" hidden="false" customHeight="true" outlineLevel="0" collapsed="false">
      <c r="A72" s="20" t="s">
        <v>88</v>
      </c>
      <c r="B72" s="14" t="n">
        <f aca="false">'Overall Estimates'!C87</f>
        <v>0.0395841806571042</v>
      </c>
      <c r="C72" s="14" t="n">
        <f aca="false">'Overall Estimates'!D87</f>
        <v>0.0427509151096725</v>
      </c>
      <c r="D72" s="2"/>
      <c r="E72" s="16" t="n">
        <f aca="false">2.20462*B72</f>
        <v>0.087268076360265</v>
      </c>
      <c r="F72" s="16" t="n">
        <f aca="false">2.20462*C72</f>
        <v>0.0942495224690862</v>
      </c>
      <c r="G72" s="2"/>
      <c r="H72" s="2"/>
      <c r="I72" s="2"/>
      <c r="J72" s="2"/>
      <c r="K72" s="2"/>
      <c r="L72" s="2"/>
      <c r="M72" s="2"/>
      <c r="N72" s="2"/>
      <c r="O72" s="2"/>
      <c r="P72" s="2"/>
      <c r="Q72" s="2"/>
      <c r="R72" s="2"/>
      <c r="S72" s="2"/>
      <c r="T72" s="2"/>
      <c r="U72" s="2"/>
      <c r="V72" s="2"/>
      <c r="W72" s="2"/>
      <c r="X72" s="2"/>
      <c r="Y72" s="2"/>
    </row>
    <row r="73" customFormat="false" ht="15.75" hidden="false" customHeight="true" outlineLevel="0" collapsed="false">
      <c r="A73" s="20" t="s">
        <v>89</v>
      </c>
      <c r="B73" s="14" t="n">
        <f aca="false">'Overall Estimates'!C88</f>
        <v>0.00548367003298299</v>
      </c>
      <c r="C73" s="14" t="n">
        <f aca="false">'Overall Estimates'!D88</f>
        <v>0.00592236363562163</v>
      </c>
      <c r="D73" s="2"/>
      <c r="E73" s="16" t="n">
        <f aca="false">2.20462*B73</f>
        <v>0.012089408628115</v>
      </c>
      <c r="F73" s="16" t="n">
        <f aca="false">2.20462*C73</f>
        <v>0.0130565613183642</v>
      </c>
      <c r="G73" s="2"/>
      <c r="H73" s="2"/>
      <c r="I73" s="2"/>
      <c r="J73" s="2"/>
      <c r="K73" s="2"/>
      <c r="L73" s="2"/>
      <c r="M73" s="2"/>
      <c r="N73" s="2"/>
      <c r="O73" s="2"/>
      <c r="P73" s="2"/>
      <c r="Q73" s="2"/>
      <c r="R73" s="2"/>
      <c r="S73" s="2"/>
      <c r="T73" s="2"/>
      <c r="U73" s="2"/>
      <c r="V73" s="2"/>
      <c r="W73" s="2"/>
      <c r="X73" s="2"/>
      <c r="Y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ustomFormat="false" ht="15.7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ustomFormat="false" ht="15.7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ustomFormat="false" ht="15.7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ustomFormat="false" ht="15.7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ustomFormat="false" ht="15.7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ustomFormat="false" ht="15.7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ustomFormat="false" ht="15.7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ustomFormat="false" ht="15.7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ustomFormat="false" ht="15.7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ustomFormat="false" ht="15.7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ustomFormat="false" ht="15.7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ustomFormat="false" ht="15.7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ustomFormat="false" ht="15.7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48576" customFormat="false" ht="12.8" hidden="false" customHeight="true" outlineLevel="0" collapsed="false"/>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9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1328125" defaultRowHeight="15" customHeight="true" zeroHeight="false" outlineLevelRow="0" outlineLevelCol="0"/>
  <cols>
    <col collapsed="false" customWidth="true" hidden="false" outlineLevel="0" max="1" min="1" style="1" width="29.61"/>
    <col collapsed="false" customWidth="true" hidden="false" outlineLevel="0" max="2" min="2" style="1" width="9.33"/>
    <col collapsed="false" customWidth="true" hidden="false" outlineLevel="0" max="3" min="3" style="1" width="13.61"/>
    <col collapsed="false" customWidth="true" hidden="false" outlineLevel="0" max="4" min="4" style="1" width="21.12"/>
    <col collapsed="false" customWidth="true" hidden="false" outlineLevel="0" max="5" min="5" style="1" width="89.73"/>
    <col collapsed="false" customWidth="true" hidden="false" outlineLevel="0" max="7" min="6" style="1" width="25.73"/>
    <col collapsed="false" customWidth="true" hidden="false" outlineLevel="0" max="8" min="8" style="1" width="14.86"/>
    <col collapsed="false" customWidth="true" hidden="false" outlineLevel="0" max="9" min="9" style="1" width="15.98"/>
    <col collapsed="false" customWidth="true" hidden="false" outlineLevel="0" max="26" min="10" style="1" width="8.61"/>
  </cols>
  <sheetData>
    <row r="1" customFormat="false" ht="12.75" hidden="false" customHeight="true" outlineLevel="0" collapsed="false">
      <c r="A1" s="30" t="s">
        <v>90</v>
      </c>
      <c r="B1" s="30"/>
      <c r="C1" s="30"/>
    </row>
    <row r="2" customFormat="false" ht="20.85" hidden="false" customHeight="true" outlineLevel="0" collapsed="false">
      <c r="A2" s="31" t="s">
        <v>91</v>
      </c>
      <c r="B2" s="31"/>
      <c r="C2" s="31"/>
      <c r="D2" s="3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row>
    <row r="3" customFormat="false" ht="33.55" hidden="false" customHeight="true" outlineLevel="0" collapsed="false">
      <c r="B3" s="4" t="s">
        <v>92</v>
      </c>
      <c r="C3" s="4" t="s">
        <v>93</v>
      </c>
      <c r="D3" s="4" t="s">
        <v>94</v>
      </c>
    </row>
    <row r="4" customFormat="false" ht="12.75" hidden="false" customHeight="true" outlineLevel="0" collapsed="false">
      <c r="A4" s="32" t="s">
        <v>95</v>
      </c>
      <c r="B4" s="33" t="n">
        <v>1</v>
      </c>
      <c r="C4" s="34" t="n">
        <f aca="false">1/B4</f>
        <v>1</v>
      </c>
      <c r="D4" s="1" t="s">
        <v>96</v>
      </c>
    </row>
    <row r="5" customFormat="false" ht="12.75" hidden="false" customHeight="true" outlineLevel="0" collapsed="false">
      <c r="A5" s="35" t="s">
        <v>97</v>
      </c>
      <c r="B5" s="33" t="n">
        <v>6.29</v>
      </c>
      <c r="C5" s="34" t="n">
        <f aca="false">1/B5</f>
        <v>0.158982511923688</v>
      </c>
      <c r="D5" s="1" t="s">
        <v>96</v>
      </c>
    </row>
    <row r="6" customFormat="false" ht="12.75" hidden="false" customHeight="true" outlineLevel="0" collapsed="false">
      <c r="A6" s="35" t="s">
        <v>98</v>
      </c>
      <c r="B6" s="33" t="n">
        <v>1.024</v>
      </c>
      <c r="C6" s="34" t="n">
        <f aca="false">1/B6</f>
        <v>0.9765625</v>
      </c>
      <c r="D6" s="1" t="s">
        <v>99</v>
      </c>
    </row>
    <row r="7" customFormat="false" ht="12.75" hidden="false" customHeight="true" outlineLevel="0" collapsed="false">
      <c r="A7" s="35" t="s">
        <v>100</v>
      </c>
      <c r="B7" s="33" t="n">
        <v>4.57</v>
      </c>
      <c r="C7" s="34" t="n">
        <f aca="false">1/B7</f>
        <v>0.218818380743983</v>
      </c>
      <c r="D7" s="1" t="s">
        <v>96</v>
      </c>
    </row>
    <row r="8" customFormat="false" ht="12.75" hidden="false" customHeight="true" outlineLevel="0" collapsed="false">
      <c r="A8" s="35" t="s">
        <v>101</v>
      </c>
      <c r="B8" s="33" t="n">
        <v>3</v>
      </c>
      <c r="C8" s="34" t="n">
        <f aca="false">1/B8</f>
        <v>0.333333333333333</v>
      </c>
      <c r="D8" s="1" t="s">
        <v>102</v>
      </c>
    </row>
    <row r="9" customFormat="false" ht="12.75" hidden="false" customHeight="true" outlineLevel="0" collapsed="false">
      <c r="A9" s="35" t="s">
        <v>103</v>
      </c>
      <c r="B9" s="33" t="n">
        <v>3.36</v>
      </c>
      <c r="C9" s="34" t="n">
        <f aca="false">1/B9</f>
        <v>0.297619047619048</v>
      </c>
      <c r="D9" s="2" t="s">
        <v>96</v>
      </c>
    </row>
    <row r="10" customFormat="false" ht="12.75" hidden="false" customHeight="true" outlineLevel="0" collapsed="false">
      <c r="A10" s="35" t="s">
        <v>104</v>
      </c>
      <c r="B10" s="33" t="n">
        <v>7.5</v>
      </c>
      <c r="C10" s="34" t="n">
        <f aca="false">1/B10</f>
        <v>0.133333333333333</v>
      </c>
      <c r="D10" s="2" t="s">
        <v>96</v>
      </c>
    </row>
    <row r="11" customFormat="false" ht="12.75" hidden="false" customHeight="true" outlineLevel="0" collapsed="false">
      <c r="A11" s="35" t="s">
        <v>105</v>
      </c>
      <c r="B11" s="33" t="n">
        <v>1.64</v>
      </c>
      <c r="C11" s="34" t="n">
        <f aca="false">1/B11</f>
        <v>0.609756097560976</v>
      </c>
      <c r="D11" s="2" t="s">
        <v>96</v>
      </c>
    </row>
    <row r="12" customFormat="false" ht="12.75" hidden="false" customHeight="true" outlineLevel="0" collapsed="false">
      <c r="A12" s="35" t="s">
        <v>106</v>
      </c>
      <c r="B12" s="33" t="n">
        <v>7.14</v>
      </c>
      <c r="C12" s="34" t="n">
        <f aca="false">1/B12</f>
        <v>0.140056022408964</v>
      </c>
      <c r="D12" s="2" t="s">
        <v>96</v>
      </c>
    </row>
    <row r="13" customFormat="false" ht="12.75" hidden="false" customHeight="true" outlineLevel="0" collapsed="false">
      <c r="A13" s="35" t="s">
        <v>107</v>
      </c>
      <c r="B13" s="33" t="n">
        <v>1.112</v>
      </c>
      <c r="C13" s="34" t="n">
        <f aca="false">1/B13</f>
        <v>0.899280575539568</v>
      </c>
      <c r="D13" s="1" t="s">
        <v>99</v>
      </c>
    </row>
    <row r="14" customFormat="false" ht="12.75" hidden="false" customHeight="true" outlineLevel="0" collapsed="false">
      <c r="A14" s="35" t="s">
        <v>108</v>
      </c>
      <c r="B14" s="33" t="n">
        <v>7.14</v>
      </c>
      <c r="C14" s="34" t="n">
        <f aca="false">1/B14</f>
        <v>0.140056022408964</v>
      </c>
      <c r="D14" s="2" t="s">
        <v>96</v>
      </c>
    </row>
    <row r="15" customFormat="false" ht="12.75" hidden="false" customHeight="true" outlineLevel="0" collapsed="false">
      <c r="A15" s="35" t="s">
        <v>109</v>
      </c>
      <c r="B15" s="33" t="n">
        <v>0.744</v>
      </c>
      <c r="C15" s="34" t="n">
        <f aca="false">1/B15</f>
        <v>1.34408602150538</v>
      </c>
      <c r="D15" s="1" t="s">
        <v>99</v>
      </c>
    </row>
    <row r="16" customFormat="false" ht="12.75" hidden="false" customHeight="true" outlineLevel="0" collapsed="false">
      <c r="A16" s="35" t="s">
        <v>110</v>
      </c>
      <c r="B16" s="33" t="n">
        <v>7.21</v>
      </c>
      <c r="C16" s="34" t="n">
        <f aca="false">1/B16</f>
        <v>0.13869625520111</v>
      </c>
      <c r="D16" s="2" t="s">
        <v>96</v>
      </c>
    </row>
    <row r="17" customFormat="false" ht="12.75" hidden="false" customHeight="true" outlineLevel="0" collapsed="false">
      <c r="A17" s="35" t="s">
        <v>111</v>
      </c>
      <c r="B17" s="33" t="n">
        <v>1.136</v>
      </c>
      <c r="C17" s="34" t="n">
        <f aca="false">1/B17</f>
        <v>0.880281690140845</v>
      </c>
      <c r="D17" s="1" t="s">
        <v>99</v>
      </c>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sheetData>
  <mergeCells count="1">
    <mergeCell ref="A2:D2"/>
  </mergeCells>
  <hyperlinks>
    <hyperlink ref="A2" r:id="rId1" display="Feitz, A.J., Lundie, S., Dennien, G. et al. Generation of an Industry-specific Physico-chemical Allocation Matrix. Application in the Dairy Industry and Implications for Systems Analysis (9 pp). Int J Life Cycle Assessment 12, 109–117 (2007).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0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1328125" defaultRowHeight="12.8" customHeight="true" zeroHeight="false" outlineLevelRow="0" outlineLevelCol="0"/>
  <cols>
    <col collapsed="false" customWidth="true" hidden="false" outlineLevel="0" max="1" min="1" style="1" width="76.38"/>
    <col collapsed="false" customWidth="true" hidden="false" outlineLevel="0" max="2" min="2" style="1" width="19.33"/>
    <col collapsed="false" customWidth="true" hidden="false" outlineLevel="0" max="3" min="3" style="1" width="18.34"/>
    <col collapsed="false" customWidth="true" hidden="false" outlineLevel="0" max="4" min="4" style="1" width="21.12"/>
    <col collapsed="false" customWidth="true" hidden="false" outlineLevel="0" max="5" min="5" style="1" width="13.2"/>
    <col collapsed="false" customWidth="true" hidden="false" outlineLevel="0" max="6" min="6" style="1" width="13.89"/>
    <col collapsed="false" customWidth="true" hidden="false" outlineLevel="0" max="7" min="7" style="1" width="16.43"/>
    <col collapsed="false" customWidth="true" hidden="false" outlineLevel="0" max="8" min="8" style="1" width="15.61"/>
    <col collapsed="false" customWidth="true" hidden="false" outlineLevel="0" max="9" min="9" style="1" width="14.6"/>
    <col collapsed="false" customWidth="true" hidden="false" outlineLevel="0" max="10" min="10" style="1" width="12.17"/>
    <col collapsed="false" customWidth="true" hidden="false" outlineLevel="0" max="11" min="11" style="1" width="14.46"/>
    <col collapsed="false" customWidth="true" hidden="false" outlineLevel="0" max="12" min="12" style="1" width="13.2"/>
    <col collapsed="false" customWidth="true" hidden="false" outlineLevel="0" max="13" min="13" style="1" width="11.45"/>
    <col collapsed="false" customWidth="true" hidden="false" outlineLevel="0" max="14" min="14" style="1" width="14.86"/>
    <col collapsed="false" customWidth="true" hidden="false" outlineLevel="0" max="15" min="15" style="1" width="12.5"/>
    <col collapsed="false" customWidth="true" hidden="false" outlineLevel="0" max="16" min="16" style="1" width="14.72"/>
    <col collapsed="false" customWidth="true" hidden="false" outlineLevel="0" max="18" min="17" style="1" width="11.7"/>
    <col collapsed="false" customWidth="true" hidden="false" outlineLevel="0" max="19" min="19" style="1" width="13.73"/>
    <col collapsed="false" customWidth="true" hidden="false" outlineLevel="0" max="20" min="20" style="1" width="12.22"/>
    <col collapsed="false" customWidth="true" hidden="false" outlineLevel="0" max="21" min="21" style="1" width="12.36"/>
    <col collapsed="false" customWidth="true" hidden="false" outlineLevel="0" max="22" min="22" style="1" width="13.34"/>
    <col collapsed="false" customWidth="true" hidden="false" outlineLevel="0" max="23" min="23" style="1" width="11.8"/>
    <col collapsed="false" customWidth="true" hidden="false" outlineLevel="0" max="28" min="24" style="1" width="14.52"/>
    <col collapsed="false" customWidth="true" hidden="false" outlineLevel="0" max="29" min="29" style="1" width="82.18"/>
    <col collapsed="false" customWidth="true" hidden="false" outlineLevel="0" max="46" min="30" style="1" width="14.52"/>
  </cols>
  <sheetData>
    <row r="1" customFormat="false" ht="15" hidden="false" customHeight="true" outlineLevel="0" collapsed="false">
      <c r="A1" s="30" t="s">
        <v>112</v>
      </c>
      <c r="B1" s="9"/>
      <c r="C1" s="9"/>
      <c r="D1" s="9"/>
      <c r="E1" s="9"/>
      <c r="F1" s="9"/>
      <c r="G1" s="9"/>
      <c r="H1" s="9"/>
      <c r="I1" s="9"/>
      <c r="J1" s="9"/>
      <c r="K1" s="9"/>
      <c r="L1" s="9"/>
      <c r="M1" s="9"/>
      <c r="N1" s="9"/>
      <c r="O1" s="9"/>
      <c r="P1" s="9"/>
      <c r="Q1" s="9"/>
      <c r="R1" s="9"/>
      <c r="S1" s="9"/>
      <c r="T1" s="9"/>
      <c r="U1" s="9"/>
      <c r="V1" s="9"/>
      <c r="W1" s="9"/>
      <c r="X1" s="9"/>
      <c r="Y1" s="9"/>
      <c r="Z1" s="9"/>
      <c r="AA1" s="9"/>
      <c r="AB1" s="2"/>
      <c r="AC1" s="2"/>
      <c r="AD1" s="2"/>
      <c r="AE1" s="2"/>
      <c r="AF1" s="2"/>
      <c r="AG1" s="2"/>
      <c r="AH1" s="2"/>
      <c r="AI1" s="2"/>
      <c r="AJ1" s="2"/>
      <c r="AK1" s="2"/>
      <c r="AL1" s="2"/>
      <c r="AM1" s="2"/>
      <c r="AN1" s="2"/>
      <c r="AO1" s="2"/>
      <c r="AP1" s="2"/>
      <c r="AQ1" s="2"/>
      <c r="AR1" s="2"/>
      <c r="AS1" s="2"/>
      <c r="AT1" s="2"/>
    </row>
    <row r="2" customFormat="false" ht="12.8" hidden="false" customHeight="true" outlineLevel="0" collapsed="false">
      <c r="A2" s="9"/>
      <c r="B2" s="9"/>
      <c r="C2" s="9"/>
      <c r="D2" s="9"/>
      <c r="E2" s="9"/>
      <c r="F2" s="9"/>
      <c r="G2" s="9"/>
      <c r="H2" s="9"/>
      <c r="I2" s="9"/>
      <c r="J2" s="9"/>
      <c r="K2" s="9"/>
      <c r="L2" s="9"/>
      <c r="M2" s="9"/>
      <c r="N2" s="9"/>
      <c r="O2" s="9"/>
      <c r="P2" s="9"/>
      <c r="Q2" s="9"/>
      <c r="R2" s="9"/>
      <c r="S2" s="9"/>
      <c r="T2" s="9"/>
      <c r="U2" s="9"/>
      <c r="V2" s="9"/>
      <c r="W2" s="9"/>
      <c r="X2" s="9"/>
      <c r="Y2" s="9"/>
      <c r="Z2" s="9"/>
      <c r="AA2" s="9"/>
      <c r="AB2" s="2"/>
      <c r="AC2" s="2"/>
      <c r="AD2" s="2"/>
      <c r="AE2" s="2"/>
      <c r="AF2" s="2"/>
      <c r="AG2" s="2"/>
      <c r="AH2" s="2"/>
      <c r="AI2" s="2"/>
      <c r="AJ2" s="2"/>
      <c r="AK2" s="2"/>
      <c r="AL2" s="2"/>
      <c r="AM2" s="2"/>
      <c r="AN2" s="2"/>
      <c r="AO2" s="2"/>
      <c r="AP2" s="2"/>
      <c r="AQ2" s="2"/>
      <c r="AR2" s="2"/>
      <c r="AS2" s="2"/>
      <c r="AT2" s="2"/>
    </row>
    <row r="3" customFormat="false" ht="12.8" hidden="false" customHeight="true" outlineLevel="0" collapsed="false">
      <c r="A3" s="9" t="s">
        <v>113</v>
      </c>
      <c r="B3" s="9"/>
      <c r="C3" s="9"/>
      <c r="D3" s="9"/>
      <c r="E3" s="9"/>
      <c r="F3" s="9"/>
      <c r="G3" s="9"/>
      <c r="H3" s="9"/>
      <c r="I3" s="9"/>
      <c r="J3" s="9"/>
      <c r="K3" s="9"/>
      <c r="L3" s="9"/>
      <c r="M3" s="9"/>
      <c r="N3" s="9"/>
      <c r="O3" s="9"/>
      <c r="P3" s="9"/>
      <c r="Q3" s="9"/>
      <c r="R3" s="9"/>
      <c r="S3" s="9"/>
      <c r="T3" s="9"/>
      <c r="U3" s="9"/>
      <c r="V3" s="9"/>
      <c r="W3" s="9"/>
      <c r="X3" s="9"/>
      <c r="Y3" s="9"/>
      <c r="Z3" s="9"/>
      <c r="AA3" s="9"/>
      <c r="AB3" s="2"/>
      <c r="AC3" s="2"/>
      <c r="AD3" s="2"/>
      <c r="AE3" s="2"/>
      <c r="AF3" s="2"/>
      <c r="AG3" s="2"/>
      <c r="AH3" s="2"/>
      <c r="AI3" s="2"/>
      <c r="AJ3" s="2"/>
      <c r="AK3" s="2"/>
      <c r="AL3" s="2"/>
      <c r="AM3" s="2"/>
      <c r="AN3" s="2"/>
      <c r="AO3" s="2"/>
      <c r="AP3" s="2"/>
      <c r="AQ3" s="2"/>
      <c r="AR3" s="2"/>
      <c r="AS3" s="2"/>
      <c r="AT3" s="2"/>
    </row>
    <row r="4" customFormat="false" ht="16.9" hidden="false" customHeight="true" outlineLevel="0" collapsed="false">
      <c r="A4" s="36"/>
      <c r="B4" s="37" t="s">
        <v>20</v>
      </c>
      <c r="C4" s="37" t="s">
        <v>114</v>
      </c>
      <c r="D4" s="37" t="s">
        <v>25</v>
      </c>
      <c r="E4" s="37" t="s">
        <v>23</v>
      </c>
      <c r="F4" s="37" t="s">
        <v>21</v>
      </c>
      <c r="G4" s="37" t="s">
        <v>26</v>
      </c>
      <c r="H4" s="37" t="s">
        <v>22</v>
      </c>
      <c r="I4" s="37" t="s">
        <v>28</v>
      </c>
      <c r="J4" s="37" t="s">
        <v>35</v>
      </c>
      <c r="K4" s="37" t="s">
        <v>31</v>
      </c>
      <c r="L4" s="37" t="s">
        <v>115</v>
      </c>
      <c r="M4" s="37" t="s">
        <v>29</v>
      </c>
      <c r="N4" s="37" t="s">
        <v>30</v>
      </c>
      <c r="O4" s="37" t="s">
        <v>32</v>
      </c>
      <c r="P4" s="37" t="s">
        <v>33</v>
      </c>
      <c r="Q4" s="37" t="s">
        <v>34</v>
      </c>
      <c r="R4" s="37" t="s">
        <v>116</v>
      </c>
      <c r="S4" s="37" t="s">
        <v>37</v>
      </c>
      <c r="T4" s="37" t="s">
        <v>38</v>
      </c>
      <c r="U4" s="37" t="s">
        <v>117</v>
      </c>
      <c r="V4" s="37" t="s">
        <v>40</v>
      </c>
      <c r="W4" s="38"/>
      <c r="AC4" s="9"/>
      <c r="AD4" s="2"/>
      <c r="AE4" s="2"/>
      <c r="AF4" s="2"/>
      <c r="AG4" s="2"/>
      <c r="AH4" s="2"/>
      <c r="AI4" s="2"/>
      <c r="AJ4" s="2"/>
      <c r="AK4" s="2"/>
      <c r="AL4" s="2"/>
      <c r="AM4" s="2"/>
      <c r="AN4" s="2"/>
      <c r="AO4" s="2"/>
      <c r="AP4" s="2"/>
      <c r="AQ4" s="2"/>
      <c r="AR4" s="2"/>
      <c r="AS4" s="2"/>
      <c r="AT4" s="2"/>
    </row>
    <row r="5" customFormat="false" ht="23.8" hidden="false" customHeight="true" outlineLevel="0" collapsed="false">
      <c r="A5" s="39" t="s">
        <v>118</v>
      </c>
      <c r="B5" s="40" t="n">
        <f aca="false">'FAO livestock data U.S.'!G7</f>
        <v>369</v>
      </c>
      <c r="C5" s="40" t="n">
        <f aca="false">'FAO livestock data U.S.'!G14</f>
        <v>27</v>
      </c>
      <c r="D5" s="40" t="n">
        <f aca="false">'FAO livestock data U.S.'!G9</f>
        <v>97</v>
      </c>
      <c r="E5" s="40" t="n">
        <f aca="false">'FAO livestock data U.S.'!G15</f>
        <v>15</v>
      </c>
      <c r="F5" s="41" t="n">
        <f aca="false">'FAO livestock data U.S.'!G8</f>
        <v>2.095</v>
      </c>
      <c r="G5" s="40" t="n">
        <f aca="false">'FAO livestock data U.S.'!G10</f>
        <v>11.46</v>
      </c>
      <c r="H5" s="42" t="n">
        <f aca="false">'FAO livestock data U.S.'!G6</f>
        <v>17.077</v>
      </c>
      <c r="I5" s="40" t="n">
        <f aca="false">'FAO livestock data U.S.'!G12</f>
        <v>10926.0021282256</v>
      </c>
      <c r="J5" s="40" t="n">
        <f aca="false">'FAO livestock data U.S.'!G12</f>
        <v>10926.0021282256</v>
      </c>
      <c r="K5" s="40" t="n">
        <f aca="false">'FAO livestock data U.S.'!G12</f>
        <v>10926.0021282256</v>
      </c>
      <c r="L5" s="40" t="n">
        <f aca="false">'FAO livestock data U.S.'!G12</f>
        <v>10926.0021282256</v>
      </c>
      <c r="M5" s="40" t="n">
        <f aca="false">'FAO livestock data U.S.'!G12</f>
        <v>10926.0021282256</v>
      </c>
      <c r="N5" s="40" t="n">
        <f aca="false">'FAO livestock data U.S.'!G12</f>
        <v>10926.0021282256</v>
      </c>
      <c r="O5" s="40" t="n">
        <f aca="false">'FAO livestock data U.S.'!G12</f>
        <v>10926.0021282256</v>
      </c>
      <c r="P5" s="40" t="n">
        <f aca="false">'FAO livestock data U.S.'!G12</f>
        <v>10926.0021282256</v>
      </c>
      <c r="Q5" s="40" t="n">
        <f aca="false">'FAO livestock data U.S.'!G12</f>
        <v>10926.0021282256</v>
      </c>
      <c r="R5" s="40" t="n">
        <f aca="false">'FAO livestock data U.S.'!G12</f>
        <v>10926.0021282256</v>
      </c>
      <c r="S5" s="40" t="n">
        <f aca="false">'FAO livestock data U.S.'!G12</f>
        <v>10926.0021282256</v>
      </c>
      <c r="T5" s="40" t="n">
        <f aca="false">'FAO livestock data U.S.'!G12</f>
        <v>10926.0021282256</v>
      </c>
      <c r="U5" s="40" t="n">
        <f aca="false">'FAO livestock data U.S.'!G12</f>
        <v>10926.0021282256</v>
      </c>
      <c r="V5" s="40" t="n">
        <f aca="false">'FAO livestock data U.S.'!G12</f>
        <v>10926.0021282256</v>
      </c>
      <c r="W5" s="38"/>
      <c r="AD5" s="2"/>
      <c r="AE5" s="2"/>
      <c r="AF5" s="2"/>
      <c r="AG5" s="2"/>
      <c r="AH5" s="2"/>
      <c r="AI5" s="2"/>
      <c r="AJ5" s="2"/>
      <c r="AK5" s="2"/>
      <c r="AL5" s="2"/>
      <c r="AM5" s="2"/>
      <c r="AN5" s="2"/>
      <c r="AO5" s="2"/>
      <c r="AP5" s="2"/>
      <c r="AQ5" s="2"/>
      <c r="AR5" s="2"/>
      <c r="AS5" s="2"/>
      <c r="AT5" s="2"/>
    </row>
    <row r="6" customFormat="false" ht="23.05" hidden="false" customHeight="true" outlineLevel="0" collapsed="false">
      <c r="A6" s="39" t="s">
        <v>119</v>
      </c>
      <c r="B6" s="43" t="n">
        <v>1</v>
      </c>
      <c r="C6" s="2" t="n">
        <v>1</v>
      </c>
      <c r="D6" s="44" t="n">
        <v>1</v>
      </c>
      <c r="E6" s="40" t="n">
        <v>1</v>
      </c>
      <c r="F6" s="45" t="n">
        <v>1</v>
      </c>
      <c r="G6" s="40" t="n">
        <v>1</v>
      </c>
      <c r="H6" s="46" t="n">
        <v>1.6</v>
      </c>
      <c r="I6" s="44" t="n">
        <v>3</v>
      </c>
      <c r="J6" s="44" t="n">
        <v>3</v>
      </c>
      <c r="K6" s="44" t="n">
        <v>3</v>
      </c>
      <c r="L6" s="44" t="n">
        <v>3</v>
      </c>
      <c r="M6" s="44" t="n">
        <v>3</v>
      </c>
      <c r="N6" s="44" t="n">
        <v>3</v>
      </c>
      <c r="O6" s="44" t="n">
        <v>3</v>
      </c>
      <c r="P6" s="44" t="n">
        <v>3</v>
      </c>
      <c r="Q6" s="44" t="n">
        <v>3</v>
      </c>
      <c r="R6" s="44" t="n">
        <v>3</v>
      </c>
      <c r="S6" s="44" t="n">
        <v>3</v>
      </c>
      <c r="T6" s="44" t="n">
        <v>3</v>
      </c>
      <c r="U6" s="44" t="n">
        <v>3</v>
      </c>
      <c r="V6" s="44" t="n">
        <v>3</v>
      </c>
      <c r="W6" s="38"/>
      <c r="AD6" s="2"/>
      <c r="AE6" s="2"/>
      <c r="AF6" s="2"/>
      <c r="AG6" s="2"/>
      <c r="AH6" s="2"/>
      <c r="AI6" s="2"/>
      <c r="AJ6" s="2"/>
      <c r="AK6" s="2"/>
      <c r="AL6" s="2"/>
      <c r="AM6" s="2"/>
      <c r="AN6" s="2"/>
      <c r="AO6" s="2"/>
      <c r="AP6" s="2"/>
      <c r="AQ6" s="2"/>
      <c r="AR6" s="2"/>
      <c r="AS6" s="2"/>
      <c r="AT6" s="2"/>
    </row>
    <row r="7" customFormat="false" ht="12.8" hidden="false" customHeight="true" outlineLevel="0" collapsed="false">
      <c r="A7" s="39" t="s">
        <v>120</v>
      </c>
      <c r="B7" s="47" t="n">
        <f aca="false">'Percent retail from FAO yield'!F2</f>
        <v>0.65</v>
      </c>
      <c r="C7" s="47" t="n">
        <f aca="false">'Percent retail from FAO yield'!F6</f>
        <v>0.465</v>
      </c>
      <c r="D7" s="47" t="n">
        <f aca="false">'Percent retail from FAO yield'!F3</f>
        <v>0.65</v>
      </c>
      <c r="E7" s="47" t="n">
        <f aca="false">'Percent retail from FAO yield'!F7</f>
        <v>0.465</v>
      </c>
      <c r="F7" s="47" t="n">
        <f aca="false">'Percent retail from FAO yield'!F4</f>
        <v>0.74</v>
      </c>
      <c r="G7" s="47" t="n">
        <f aca="false">'Percent retail from FAO yield'!F5</f>
        <v>0.74</v>
      </c>
      <c r="H7" s="47" t="n">
        <f aca="false">'Percent retail from FAO yield'!G8</f>
        <v>0.985</v>
      </c>
      <c r="I7" s="47" t="n">
        <f aca="false">'Percent retail from FAO yield'!G9</f>
        <v>0.949293535351624</v>
      </c>
      <c r="J7" s="47" t="n">
        <f aca="false">'Percent retail from FAO yield'!G9</f>
        <v>0.949293535351624</v>
      </c>
      <c r="K7" s="47" t="n">
        <f aca="false">'Percent retail from FAO yield'!G9</f>
        <v>0.949293535351624</v>
      </c>
      <c r="L7" s="47" t="n">
        <f aca="false">'Percent retail from FAO yield'!G9</f>
        <v>0.949293535351624</v>
      </c>
      <c r="M7" s="47" t="n">
        <f aca="false">'Percent retail from FAO yield'!G9</f>
        <v>0.949293535351624</v>
      </c>
      <c r="N7" s="47" t="n">
        <f aca="false">'Percent retail from FAO yield'!G9</f>
        <v>0.949293535351624</v>
      </c>
      <c r="O7" s="47" t="n">
        <f aca="false">'Percent retail from FAO yield'!G9</f>
        <v>0.949293535351624</v>
      </c>
      <c r="P7" s="47" t="n">
        <f aca="false">'Percent retail from FAO yield'!G9</f>
        <v>0.949293535351624</v>
      </c>
      <c r="Q7" s="47" t="n">
        <f aca="false">'Percent retail from FAO yield'!G9</f>
        <v>0.949293535351624</v>
      </c>
      <c r="R7" s="47" t="n">
        <f aca="false">'Percent retail from FAO yield'!G9</f>
        <v>0.949293535351624</v>
      </c>
      <c r="S7" s="47" t="n">
        <f aca="false">'Percent retail from FAO yield'!G9</f>
        <v>0.949293535351624</v>
      </c>
      <c r="T7" s="47" t="n">
        <f aca="false">'Percent retail from FAO yield'!G9</f>
        <v>0.949293535351624</v>
      </c>
      <c r="U7" s="47" t="n">
        <f aca="false">'Percent retail from FAO yield'!G9</f>
        <v>0.949293535351624</v>
      </c>
      <c r="V7" s="47" t="n">
        <f aca="false">'Percent retail from FAO yield'!G9</f>
        <v>0.949293535351624</v>
      </c>
      <c r="W7" s="38"/>
      <c r="AD7" s="2"/>
      <c r="AE7" s="2"/>
      <c r="AF7" s="2"/>
      <c r="AG7" s="2"/>
      <c r="AH7" s="2"/>
      <c r="AI7" s="2"/>
      <c r="AJ7" s="2"/>
      <c r="AK7" s="2"/>
      <c r="AL7" s="2"/>
      <c r="AM7" s="2"/>
      <c r="AN7" s="2"/>
      <c r="AO7" s="2"/>
      <c r="AP7" s="2"/>
      <c r="AQ7" s="2"/>
      <c r="AR7" s="2"/>
      <c r="AS7" s="2"/>
      <c r="AT7" s="2"/>
    </row>
    <row r="8" customFormat="false" ht="16.15" hidden="false" customHeight="true" outlineLevel="0" collapsed="false">
      <c r="A8" s="39" t="s">
        <v>121</v>
      </c>
      <c r="B8" s="43"/>
      <c r="C8" s="2"/>
      <c r="D8" s="48"/>
      <c r="E8" s="40"/>
      <c r="F8" s="45"/>
      <c r="G8" s="40"/>
      <c r="H8" s="48"/>
      <c r="I8" s="48" t="n">
        <v>1</v>
      </c>
      <c r="J8" s="49" t="n">
        <f aca="false">'Milk solids proportion'!C11</f>
        <v>0.609756097560976</v>
      </c>
      <c r="K8" s="50" t="n">
        <f aca="false">'Milk solids proportion'!C7</f>
        <v>0.218818380743983</v>
      </c>
      <c r="L8" s="49" t="n">
        <f aca="false">'Milk solids proportion'!C17</f>
        <v>0.880281690140845</v>
      </c>
      <c r="M8" s="49" t="n">
        <f aca="false">'Milk solids proportion'!C5</f>
        <v>0.158982511923688</v>
      </c>
      <c r="N8" s="49" t="n">
        <f aca="false">'Milk solids proportion'!C6</f>
        <v>0.9765625</v>
      </c>
      <c r="O8" s="49" t="n">
        <f aca="false">'Milk solids proportion'!C8</f>
        <v>0.333333333333333</v>
      </c>
      <c r="P8" s="49" t="n">
        <f aca="false">'Milk solids proportion'!C9</f>
        <v>0.297619047619048</v>
      </c>
      <c r="Q8" s="49" t="n">
        <f aca="false">'Milk solids proportion'!C10</f>
        <v>0.133333333333333</v>
      </c>
      <c r="R8" s="49" t="n">
        <f aca="false">'Milk solids proportion'!C12</f>
        <v>0.140056022408964</v>
      </c>
      <c r="S8" s="49" t="n">
        <f aca="false">'Milk solids proportion'!C13</f>
        <v>0.899280575539568</v>
      </c>
      <c r="T8" s="49" t="n">
        <f aca="false">'Milk solids proportion'!C14</f>
        <v>0.140056022408964</v>
      </c>
      <c r="U8" s="49" t="n">
        <f aca="false">'Milk solids proportion'!C15</f>
        <v>1.34408602150538</v>
      </c>
      <c r="V8" s="49" t="n">
        <f aca="false">'Milk solids proportion'!C16</f>
        <v>0.13869625520111</v>
      </c>
      <c r="W8" s="38"/>
      <c r="AD8" s="2"/>
      <c r="AE8" s="2"/>
      <c r="AF8" s="2"/>
      <c r="AG8" s="2"/>
      <c r="AH8" s="2"/>
      <c r="AI8" s="2"/>
      <c r="AJ8" s="2"/>
      <c r="AK8" s="2"/>
      <c r="AL8" s="2"/>
      <c r="AM8" s="2"/>
      <c r="AN8" s="2"/>
      <c r="AO8" s="2"/>
      <c r="AP8" s="2"/>
      <c r="AQ8" s="2"/>
      <c r="AR8" s="2"/>
      <c r="AS8" s="2"/>
      <c r="AT8" s="2"/>
    </row>
    <row r="9" customFormat="false" ht="22.3" hidden="false" customHeight="true" outlineLevel="0" collapsed="false">
      <c r="A9" s="51" t="s">
        <v>122</v>
      </c>
      <c r="B9" s="43" t="n">
        <f aca="false">B5*B6*B7</f>
        <v>239.85</v>
      </c>
      <c r="C9" s="52" t="n">
        <f aca="false">C5*C6*C7</f>
        <v>12.555</v>
      </c>
      <c r="D9" s="40" t="n">
        <f aca="false">D5*D6*D7</f>
        <v>63.05</v>
      </c>
      <c r="E9" s="40" t="n">
        <f aca="false">E5*E6*E7</f>
        <v>6.975</v>
      </c>
      <c r="F9" s="45" t="n">
        <f aca="false">F5*F6*F7</f>
        <v>1.5503</v>
      </c>
      <c r="G9" s="40" t="n">
        <f aca="false">G5*G6*G7</f>
        <v>8.4804</v>
      </c>
      <c r="H9" s="40" t="n">
        <f aca="false">H5*H6*H7</f>
        <v>26.913352</v>
      </c>
      <c r="I9" s="40" t="n">
        <f aca="false">I5*I6*I7</f>
        <v>31115.9495626879</v>
      </c>
      <c r="J9" s="40" t="n">
        <f aca="false">J5*J6*J7*J8</f>
        <v>18973.1399772487</v>
      </c>
      <c r="K9" s="40" t="n">
        <f aca="false">K5*K6*K7*K8</f>
        <v>6808.7416986188</v>
      </c>
      <c r="L9" s="40" t="n">
        <f aca="false">L5*L6*L7*L8</f>
        <v>27390.8006713802</v>
      </c>
      <c r="M9" s="40" t="n">
        <f aca="false">M5*M6*M7*M8</f>
        <v>4946.89182236692</v>
      </c>
      <c r="N9" s="40" t="n">
        <f aca="false">N5*N6*N7*N8</f>
        <v>30386.6694948124</v>
      </c>
      <c r="O9" s="40" t="n">
        <f aca="false">O5*O6*O7*O8</f>
        <v>10371.9831875626</v>
      </c>
      <c r="P9" s="40" t="n">
        <f aca="false">P5*P6*P7*P8</f>
        <v>9260.6992746095</v>
      </c>
      <c r="Q9" s="40" t="n">
        <f aca="false">Q5*Q6*Q7*Q8</f>
        <v>4148.79327502506</v>
      </c>
      <c r="R9" s="40" t="n">
        <f aca="false">R5*R6*R7*R8</f>
        <v>4357.976129228</v>
      </c>
      <c r="S9" s="40" t="n">
        <f aca="false">S5*S6*S7*S8</f>
        <v>27981.9690311942</v>
      </c>
      <c r="T9" s="40" t="n">
        <f aca="false">T5*T6*T7*T8</f>
        <v>4357.976129228</v>
      </c>
      <c r="U9" s="40" t="n">
        <f aca="false">U5*U6*U7*U8</f>
        <v>41822.5128530751</v>
      </c>
      <c r="V9" s="40" t="n">
        <f aca="false">V5*V6*V7*V8</f>
        <v>4315.66568137142</v>
      </c>
      <c r="W9" s="38"/>
      <c r="AD9" s="2"/>
      <c r="AE9" s="2"/>
      <c r="AF9" s="2"/>
      <c r="AG9" s="2"/>
      <c r="AH9" s="2"/>
      <c r="AI9" s="2"/>
      <c r="AJ9" s="2"/>
      <c r="AK9" s="2"/>
      <c r="AL9" s="2"/>
      <c r="AM9" s="2"/>
      <c r="AN9" s="2"/>
      <c r="AO9" s="2"/>
      <c r="AP9" s="2"/>
      <c r="AQ9" s="2"/>
      <c r="AR9" s="2"/>
      <c r="AS9" s="2"/>
      <c r="AT9" s="2"/>
    </row>
    <row r="10" customFormat="false" ht="23.8" hidden="false" customHeight="true" outlineLevel="0" collapsed="false">
      <c r="A10" s="51" t="s">
        <v>123</v>
      </c>
      <c r="B10" s="43" t="n">
        <f aca="false">(B5*B6*B7)/(1+Mortality!C4)</f>
        <v>215.247805860947</v>
      </c>
      <c r="C10" s="52" t="n">
        <f aca="false">(C5*C6*C7)/(1+Mortality!C10)</f>
        <v>10.2971088</v>
      </c>
      <c r="D10" s="40" t="n">
        <f aca="false">(D5*D6*D7)/(1+(1.123*'Feed fish'!B12)+Mortality!C7)</f>
        <v>1.66148618218697</v>
      </c>
      <c r="E10" s="52" t="n">
        <f aca="false">(E5*E6*E7)/(1+Mortality!C11)</f>
        <v>5.0709087</v>
      </c>
      <c r="F10" s="45" t="n">
        <f aca="false">(F5*F6*F7)/(1+'Feed fish'!B27+Mortality!C5)</f>
        <v>1.37316263906785</v>
      </c>
      <c r="G10" s="40" t="n">
        <f aca="false">(G5*G6*G7)/(1+Mortality!C9)</f>
        <v>7.780767</v>
      </c>
      <c r="H10" s="41" t="n">
        <f aca="false">(H5*H6*H7)/(1+'Feed fish'!B28+Mortality!C8)</f>
        <v>10.6080094450684</v>
      </c>
      <c r="I10" s="40" t="n">
        <f aca="false">(I5*I6*I7)/(1+Mortality!C6)</f>
        <v>28571.162743653</v>
      </c>
      <c r="J10" s="40" t="n">
        <f aca="false">(J5*J6*J7*J8)/(1+Mortality!C6)</f>
        <v>17421.4406973494</v>
      </c>
      <c r="K10" s="40" t="n">
        <f aca="false">(K5*K6*K7*K8)/(1+Mortality!C6)</f>
        <v>6251.89556753896</v>
      </c>
      <c r="L10" s="40" t="n">
        <f aca="false">(L5*L6*L7*L8)/(1+Mortality!C6)</f>
        <v>25150.671429272</v>
      </c>
      <c r="M10" s="40" t="n">
        <f aca="false">(M5*M6*M7*M8)/(1+Mortality!C6)</f>
        <v>4542.31522156646</v>
      </c>
      <c r="N10" s="40" t="n">
        <f aca="false">(N5*N6*N7*N8)/(1+Mortality!C6)</f>
        <v>27901.5261168487</v>
      </c>
      <c r="O10" s="40" t="n">
        <f aca="false">(O5*O6*O7*O8)/(1+Mortality!C6)</f>
        <v>9523.72091455101</v>
      </c>
      <c r="P10" s="40" t="n">
        <f aca="false">(P5*P6*P7*P8)/(1+Mortality!C6)</f>
        <v>8503.32224513483</v>
      </c>
      <c r="Q10" s="40" t="n">
        <f aca="false">(Q5*Q6*Q7*Q8)/(1+Mortality!C6)</f>
        <v>3809.48836582041</v>
      </c>
      <c r="R10" s="40" t="n">
        <f aca="false">(R5*R6*R7*R8)/(1+Mortality!C6)</f>
        <v>4001.56340947522</v>
      </c>
      <c r="S10" s="40" t="n">
        <f aca="false">(S5*S6*S7*S8)/(1+Mortality!C6)</f>
        <v>25693.491675947</v>
      </c>
      <c r="T10" s="40" t="n">
        <f aca="false">(T5*T6*T7*T8)/(1+Mortality!C6)</f>
        <v>4001.56340947522</v>
      </c>
      <c r="U10" s="40" t="n">
        <f aca="false">(U5*U6*U7*U8)/(1+Mortality!C6)</f>
        <v>38402.1004618992</v>
      </c>
      <c r="V10" s="40" t="n">
        <f aca="false">(V5*V6*V7*V8)/(1+Mortality!C6)</f>
        <v>3962.71327928614</v>
      </c>
      <c r="W10" s="38"/>
      <c r="AD10" s="2"/>
      <c r="AE10" s="2"/>
      <c r="AF10" s="2"/>
      <c r="AG10" s="2"/>
      <c r="AH10" s="2"/>
      <c r="AI10" s="2"/>
      <c r="AJ10" s="2"/>
      <c r="AK10" s="2"/>
      <c r="AL10" s="2"/>
      <c r="AM10" s="2"/>
      <c r="AN10" s="2"/>
      <c r="AO10" s="2"/>
      <c r="AP10" s="2"/>
      <c r="AQ10" s="2"/>
      <c r="AR10" s="2"/>
      <c r="AS10" s="2"/>
      <c r="AT10" s="2"/>
    </row>
    <row r="11" customFormat="false" ht="12.8" hidden="false" customHeight="true" outlineLevel="0" collapsed="false">
      <c r="A11" s="39" t="s">
        <v>124</v>
      </c>
      <c r="B11" s="53" t="n">
        <v>0.912</v>
      </c>
      <c r="C11" s="52"/>
      <c r="D11" s="40"/>
      <c r="E11" s="40"/>
      <c r="F11" s="45"/>
      <c r="G11" s="40"/>
      <c r="H11" s="40"/>
      <c r="I11" s="40" t="n">
        <v>0.88</v>
      </c>
      <c r="J11" s="40" t="n">
        <v>0.88</v>
      </c>
      <c r="K11" s="40" t="n">
        <v>0.88</v>
      </c>
      <c r="L11" s="40" t="n">
        <v>0.88</v>
      </c>
      <c r="M11" s="40" t="n">
        <v>0.88</v>
      </c>
      <c r="N11" s="40" t="n">
        <v>0.88</v>
      </c>
      <c r="O11" s="40" t="n">
        <v>0.88</v>
      </c>
      <c r="P11" s="40" t="n">
        <v>0.88</v>
      </c>
      <c r="Q11" s="40" t="n">
        <v>0.88</v>
      </c>
      <c r="R11" s="40" t="n">
        <v>0.88</v>
      </c>
      <c r="S11" s="40" t="n">
        <v>0.88</v>
      </c>
      <c r="T11" s="40" t="n">
        <v>0.88</v>
      </c>
      <c r="U11" s="40" t="n">
        <v>0.88</v>
      </c>
      <c r="V11" s="40" t="n">
        <v>0.88</v>
      </c>
      <c r="W11" s="38"/>
      <c r="AD11" s="2"/>
      <c r="AE11" s="2"/>
      <c r="AF11" s="2"/>
      <c r="AG11" s="2"/>
      <c r="AH11" s="2"/>
      <c r="AI11" s="2"/>
      <c r="AJ11" s="2"/>
      <c r="AK11" s="2"/>
      <c r="AL11" s="2"/>
      <c r="AM11" s="2"/>
      <c r="AN11" s="2"/>
      <c r="AO11" s="2"/>
      <c r="AP11" s="2"/>
      <c r="AQ11" s="2"/>
      <c r="AR11" s="2"/>
      <c r="AS11" s="2"/>
      <c r="AT11" s="2"/>
    </row>
    <row r="12" customFormat="false" ht="16.15" hidden="false" customHeight="true" outlineLevel="0" collapsed="false">
      <c r="A12" s="54" t="s">
        <v>125</v>
      </c>
      <c r="B12" s="55" t="n">
        <f aca="false">B11*(1/B9)</f>
        <v>0.00380237648530331</v>
      </c>
      <c r="C12" s="56" t="n">
        <f aca="false">(1/C9)</f>
        <v>0.0796495420151334</v>
      </c>
      <c r="D12" s="57" t="n">
        <f aca="false">(1/D9)</f>
        <v>0.0158604282315623</v>
      </c>
      <c r="E12" s="56" t="n">
        <f aca="false">(1/E9)</f>
        <v>0.14336917562724</v>
      </c>
      <c r="F12" s="58" t="n">
        <f aca="false">(1/F9)</f>
        <v>0.645036444559118</v>
      </c>
      <c r="G12" s="59" t="n">
        <f aca="false">(1/G9)</f>
        <v>0.117918966086505</v>
      </c>
      <c r="H12" s="57" t="n">
        <f aca="false">(1/H9)</f>
        <v>0.0371562784152639</v>
      </c>
      <c r="I12" s="60" t="n">
        <f aca="false">I11*((1/I9))</f>
        <v>2.82813159285756E-005</v>
      </c>
      <c r="J12" s="60" t="n">
        <f aca="false">J11*((1/J9))</f>
        <v>4.6381358122864E-005</v>
      </c>
      <c r="K12" s="60" t="n">
        <f aca="false">K11*((1/K9))</f>
        <v>0.00012924561379359</v>
      </c>
      <c r="L12" s="57" t="n">
        <f aca="false">L11*(1/L9)</f>
        <v>3.21275748948619E-005</v>
      </c>
      <c r="M12" s="57" t="n">
        <f aca="false">M11*(1/M9)</f>
        <v>0.00017788947719074</v>
      </c>
      <c r="N12" s="57" t="n">
        <f aca="false">N11*(1/N9)</f>
        <v>2.89600675108614E-005</v>
      </c>
      <c r="O12" s="57" t="n">
        <f aca="false">O11*(1/O9)</f>
        <v>8.48439477857268E-005</v>
      </c>
      <c r="P12" s="57" t="n">
        <f aca="false">P11*(1/P9)</f>
        <v>9.5025221520014E-005</v>
      </c>
      <c r="Q12" s="57" t="n">
        <f aca="false">Q11*(1/Q9)</f>
        <v>0.000212109869464317</v>
      </c>
      <c r="R12" s="57" t="n">
        <f aca="false">R11*(1/R9)</f>
        <v>0.00020192859573003</v>
      </c>
      <c r="S12" s="57" t="n">
        <f aca="false">S11*(1/S9)</f>
        <v>3.14488233125761E-005</v>
      </c>
      <c r="T12" s="57" t="n">
        <f aca="false">T11*(1/T9)</f>
        <v>0.00020192859573003</v>
      </c>
      <c r="U12" s="57" t="n">
        <f aca="false">U11*(1/U9)</f>
        <v>2.10412990508602E-005</v>
      </c>
      <c r="V12" s="57" t="n">
        <f aca="false">V11*(1/V9)</f>
        <v>0.00020390828784503</v>
      </c>
      <c r="W12" s="38"/>
      <c r="AD12" s="2"/>
      <c r="AE12" s="2"/>
      <c r="AF12" s="2"/>
      <c r="AG12" s="2"/>
      <c r="AH12" s="2"/>
      <c r="AI12" s="2"/>
      <c r="AJ12" s="2"/>
      <c r="AK12" s="2"/>
      <c r="AL12" s="2"/>
      <c r="AM12" s="2"/>
      <c r="AN12" s="2"/>
      <c r="AO12" s="2"/>
      <c r="AP12" s="2"/>
      <c r="AQ12" s="2"/>
      <c r="AR12" s="2"/>
      <c r="AS12" s="2"/>
      <c r="AT12" s="2"/>
    </row>
    <row r="13" customFormat="false" ht="16.15" hidden="false" customHeight="true" outlineLevel="0" collapsed="false">
      <c r="A13" s="54" t="s">
        <v>126</v>
      </c>
      <c r="B13" s="61" t="n">
        <f aca="false">B11*(1/B10)</f>
        <v>0.00423697698730163</v>
      </c>
      <c r="C13" s="61" t="n">
        <f aca="false">(1/C10)</f>
        <v>0.0971146386255528</v>
      </c>
      <c r="D13" s="62" t="n">
        <f aca="false">(1/D10)</f>
        <v>0.601870789369869</v>
      </c>
      <c r="E13" s="61" t="n">
        <f aca="false">(1/E10)</f>
        <v>0.19720331387548</v>
      </c>
      <c r="F13" s="62" t="n">
        <f aca="false">(1/F10)</f>
        <v>0.728245854896572</v>
      </c>
      <c r="G13" s="62" t="n">
        <f aca="false">(1/G10)</f>
        <v>0.12852203388175</v>
      </c>
      <c r="H13" s="62" t="n">
        <f aca="false">(1/H10)</f>
        <v>0.0942683926874611</v>
      </c>
      <c r="I13" s="62" t="n">
        <f aca="false">I11*(1/I10)</f>
        <v>3.08002865650082E-005</v>
      </c>
      <c r="J13" s="62" t="n">
        <f aca="false">J11*(1/J10)</f>
        <v>5.05124699666135E-005</v>
      </c>
      <c r="K13" s="62" t="n">
        <f aca="false">K11*(1/K10)</f>
        <v>0.000140757309602088</v>
      </c>
      <c r="L13" s="62" t="n">
        <f aca="false">L11*(1/L10)</f>
        <v>3.49891255378493E-005</v>
      </c>
      <c r="M13" s="62" t="n">
        <f aca="false">M11*(1/M10)</f>
        <v>0.000193733802493902</v>
      </c>
      <c r="N13" s="62" t="n">
        <f aca="false">N11*(1/N10)</f>
        <v>3.15394934425684E-005</v>
      </c>
      <c r="O13" s="62" t="n">
        <f aca="false">O11*(1/O10)</f>
        <v>9.24008596950247E-005</v>
      </c>
      <c r="P13" s="62" t="n">
        <f aca="false">P11*(1/P10)</f>
        <v>0.000103488962858428</v>
      </c>
      <c r="Q13" s="62" t="n">
        <f aca="false">Q11*(1/Q10)</f>
        <v>0.000231002149237562</v>
      </c>
      <c r="R13" s="62" t="n">
        <f aca="false">R11*(1/R10)</f>
        <v>0.000219914046074159</v>
      </c>
      <c r="S13" s="62" t="n">
        <f aca="false">S11*(1/S10)</f>
        <v>3.42499186602891E-005</v>
      </c>
      <c r="T13" s="62" t="n">
        <f aca="false">T11*(1/T10)</f>
        <v>0.000219914046074159</v>
      </c>
      <c r="U13" s="62" t="n">
        <f aca="false">U11*(1/U10)</f>
        <v>2.29154132043661E-005</v>
      </c>
      <c r="V13" s="62" t="n">
        <f aca="false">V11*(1/V10)</f>
        <v>0.000222070066133709</v>
      </c>
      <c r="W13" s="38"/>
      <c r="AD13" s="2"/>
      <c r="AE13" s="2"/>
      <c r="AF13" s="2"/>
      <c r="AG13" s="2"/>
      <c r="AH13" s="2"/>
      <c r="AI13" s="2"/>
      <c r="AJ13" s="2"/>
      <c r="AK13" s="2"/>
      <c r="AL13" s="2"/>
      <c r="AM13" s="2"/>
      <c r="AN13" s="2"/>
      <c r="AO13" s="2"/>
      <c r="AP13" s="2"/>
      <c r="AQ13" s="2"/>
      <c r="AR13" s="2"/>
      <c r="AS13" s="2"/>
      <c r="AT13" s="2"/>
    </row>
    <row r="14" customFormat="false" ht="12.8" hidden="false" customHeight="true" outlineLevel="0" collapsed="false">
      <c r="A14" s="63"/>
      <c r="B14" s="63"/>
      <c r="C14" s="63"/>
      <c r="D14" s="63"/>
      <c r="E14" s="63"/>
      <c r="F14" s="63"/>
      <c r="G14" s="63"/>
      <c r="H14" s="63"/>
      <c r="I14" s="63"/>
      <c r="J14" s="63"/>
      <c r="K14" s="63"/>
      <c r="L14" s="63"/>
      <c r="M14" s="63"/>
      <c r="N14" s="63"/>
      <c r="O14" s="63"/>
      <c r="P14" s="63"/>
      <c r="Q14" s="63"/>
      <c r="R14" s="63"/>
      <c r="S14" s="63"/>
      <c r="T14" s="63"/>
      <c r="U14" s="63"/>
      <c r="V14" s="63"/>
      <c r="W14" s="2"/>
      <c r="X14" s="64"/>
      <c r="Y14" s="64"/>
      <c r="Z14" s="64"/>
      <c r="AA14" s="64"/>
      <c r="AB14" s="2"/>
      <c r="AC14" s="2"/>
      <c r="AD14" s="2"/>
      <c r="AE14" s="2"/>
      <c r="AF14" s="2"/>
      <c r="AG14" s="2"/>
      <c r="AH14" s="2"/>
      <c r="AI14" s="2"/>
      <c r="AJ14" s="2"/>
      <c r="AK14" s="2"/>
      <c r="AL14" s="2"/>
      <c r="AM14" s="2"/>
      <c r="AN14" s="2"/>
      <c r="AO14" s="2"/>
      <c r="AP14" s="2"/>
      <c r="AQ14" s="2"/>
      <c r="AR14" s="2"/>
      <c r="AS14" s="2"/>
      <c r="AT14" s="2"/>
    </row>
    <row r="15" customFormat="false" ht="15.75" hidden="false" customHeight="true" outlineLevel="0" collapsed="false">
      <c r="A15" s="2"/>
      <c r="B15" s="56"/>
      <c r="C15" s="56"/>
      <c r="D15" s="56"/>
      <c r="E15" s="56"/>
      <c r="F15" s="56"/>
      <c r="G15" s="56"/>
      <c r="H15" s="56"/>
      <c r="I15" s="56"/>
      <c r="J15" s="56"/>
      <c r="K15" s="52"/>
      <c r="L15" s="52"/>
      <c r="M15" s="52"/>
      <c r="N15" s="52"/>
      <c r="O15" s="52"/>
      <c r="P15" s="52"/>
      <c r="Q15" s="52"/>
      <c r="R15" s="52"/>
      <c r="S15" s="52"/>
      <c r="T15" s="52"/>
      <c r="U15" s="52"/>
      <c r="V15" s="52"/>
      <c r="W15" s="2"/>
      <c r="X15" s="2"/>
      <c r="Y15" s="2"/>
      <c r="Z15" s="2"/>
      <c r="AA15" s="2"/>
      <c r="AB15" s="2"/>
      <c r="AC15" s="2"/>
      <c r="AD15" s="2"/>
      <c r="AE15" s="2"/>
      <c r="AF15" s="2"/>
      <c r="AG15" s="2"/>
      <c r="AH15" s="2"/>
      <c r="AI15" s="2"/>
      <c r="AJ15" s="2"/>
      <c r="AK15" s="2"/>
      <c r="AL15" s="2"/>
      <c r="AM15" s="2"/>
      <c r="AN15" s="2"/>
      <c r="AO15" s="2"/>
      <c r="AP15" s="2"/>
      <c r="AQ15" s="2"/>
      <c r="AR15" s="2"/>
      <c r="AS15" s="2"/>
      <c r="AT15" s="2"/>
    </row>
    <row r="16" customFormat="false" ht="15.7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customFormat="false" ht="49.25" hidden="false" customHeight="true" outlineLevel="0" collapsed="false">
      <c r="A17" s="2"/>
      <c r="B17" s="65" t="s">
        <v>14</v>
      </c>
      <c r="C17" s="65" t="s">
        <v>127</v>
      </c>
      <c r="D17" s="65" t="s">
        <v>128</v>
      </c>
      <c r="E17" s="66" t="s">
        <v>129</v>
      </c>
      <c r="F17" s="52"/>
      <c r="G17" s="2"/>
      <c r="H17" s="2"/>
      <c r="I17" s="2"/>
      <c r="J17" s="2"/>
      <c r="K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customFormat="false" ht="15.75" hidden="false" customHeight="true" outlineLevel="0" collapsed="false">
      <c r="A18" s="67"/>
      <c r="B18" s="1" t="s">
        <v>19</v>
      </c>
      <c r="C18" s="68" t="n">
        <f aca="false">((0.37*C24)+(0.32*C19)+(0.2*C20)+(0.06*C23)+(0.05*C53))</f>
        <v>0.106170533521145</v>
      </c>
      <c r="D18" s="68" t="n">
        <f aca="false">((0.37*D24)+(0.32*D19)+(0.2*D20)+(0.06*D23)+(0.05*D53))</f>
        <v>0.671323125816497</v>
      </c>
      <c r="F18" s="52"/>
      <c r="G18" s="2"/>
      <c r="H18" s="2"/>
      <c r="I18" s="2"/>
      <c r="J18" s="2"/>
      <c r="K18" s="2"/>
    </row>
    <row r="19" customFormat="false" ht="15.75" hidden="false" customHeight="true" outlineLevel="0" collapsed="false">
      <c r="A19" s="2"/>
      <c r="B19" s="20" t="s">
        <v>20</v>
      </c>
      <c r="C19" s="69" t="n">
        <f aca="false">B12/2.20462</f>
        <v>0.00172473101273839</v>
      </c>
      <c r="D19" s="69" t="n">
        <f aca="false">B13/2.20462</f>
        <v>0.001921862718882</v>
      </c>
      <c r="E19" s="52"/>
      <c r="F19" s="52"/>
      <c r="G19" s="2"/>
      <c r="H19" s="2"/>
      <c r="I19" s="2"/>
      <c r="J19" s="2"/>
      <c r="K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customFormat="false" ht="15.75" hidden="false" customHeight="true" outlineLevel="0" collapsed="false">
      <c r="A20" s="2"/>
      <c r="B20" s="20" t="s">
        <v>21</v>
      </c>
      <c r="C20" s="69" t="n">
        <f aca="false">F12/2.20462</f>
        <v>0.292583957579591</v>
      </c>
      <c r="D20" s="69" t="n">
        <f aca="false">F13/2.20462</f>
        <v>0.330327156106981</v>
      </c>
      <c r="E20" s="52"/>
      <c r="F20" s="52"/>
      <c r="G20" s="2"/>
      <c r="H20" s="2"/>
      <c r="I20" s="2"/>
      <c r="J20" s="2"/>
      <c r="K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customFormat="false" ht="15.75" hidden="false" customHeight="true" outlineLevel="0" collapsed="false">
      <c r="A21" s="2"/>
      <c r="B21" s="20" t="s">
        <v>22</v>
      </c>
      <c r="C21" s="69" t="n">
        <f aca="false">H12/2.20462</f>
        <v>0.0168538244301802</v>
      </c>
      <c r="D21" s="69" t="n">
        <f aca="false">H13/2.20462</f>
        <v>0.0427594745069268</v>
      </c>
      <c r="E21" s="52"/>
      <c r="F21" s="52"/>
      <c r="G21" s="2"/>
      <c r="H21" s="2"/>
      <c r="I21" s="2"/>
      <c r="J21" s="2"/>
      <c r="K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customFormat="false" ht="15.75" hidden="false" customHeight="true" outlineLevel="0" collapsed="false">
      <c r="A22" s="2"/>
      <c r="B22" s="20" t="s">
        <v>23</v>
      </c>
      <c r="C22" s="69" t="n">
        <f aca="false">E12/2.20462</f>
        <v>0.0650312414961491</v>
      </c>
      <c r="D22" s="69" t="n">
        <f aca="false">E13/2.20462</f>
        <v>0.0894500248911284</v>
      </c>
      <c r="E22" s="52"/>
      <c r="F22" s="52"/>
      <c r="G22" s="2"/>
      <c r="H22" s="2"/>
      <c r="I22" s="2"/>
      <c r="J22" s="2"/>
      <c r="K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customFormat="false" ht="15.75" hidden="false" customHeight="true" outlineLevel="0" collapsed="false">
      <c r="A23" s="2"/>
      <c r="B23" s="20" t="s">
        <v>24</v>
      </c>
      <c r="C23" s="69" t="n">
        <f aca="false">C12/2.20462</f>
        <v>0.0361284674978606</v>
      </c>
      <c r="D23" s="69" t="n">
        <f aca="false">C13/2.20462</f>
        <v>0.0440505114829553</v>
      </c>
      <c r="E23" s="52"/>
      <c r="F23" s="52"/>
      <c r="G23" s="2"/>
      <c r="H23" s="2"/>
      <c r="I23" s="2"/>
      <c r="J23" s="2"/>
      <c r="K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customFormat="false" ht="15.75" hidden="false" customHeight="true" outlineLevel="0" collapsed="false">
      <c r="A24" s="2"/>
      <c r="B24" s="20" t="s">
        <v>25</v>
      </c>
      <c r="C24" s="69" t="n">
        <f aca="false">D12/2.20462</f>
        <v>0.00719417778644948</v>
      </c>
      <c r="D24" s="69" t="n">
        <f aca="false">D13/2.20462</f>
        <v>0.273004322454604</v>
      </c>
      <c r="E24" s="52"/>
      <c r="F24" s="52"/>
      <c r="G24" s="2"/>
      <c r="H24" s="2"/>
      <c r="I24" s="2"/>
      <c r="J24" s="2"/>
      <c r="K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customFormat="false" ht="15.75" hidden="false" customHeight="true" outlineLevel="0" collapsed="false">
      <c r="B25" s="20" t="s">
        <v>26</v>
      </c>
      <c r="C25" s="69" t="n">
        <f aca="false">G12/2.20462</f>
        <v>0.0534872069048205</v>
      </c>
      <c r="D25" s="69" t="n">
        <f aca="false">G13/2.20462</f>
        <v>0.0582966832750087</v>
      </c>
      <c r="E25" s="52"/>
      <c r="F25" s="52"/>
      <c r="G25" s="2"/>
      <c r="H25" s="2"/>
      <c r="I25" s="2"/>
      <c r="J25" s="2"/>
      <c r="K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customFormat="false" ht="15.75" hidden="false" customHeight="true" outlineLevel="0" collapsed="false">
      <c r="A26" s="2"/>
      <c r="B26" s="20" t="s">
        <v>27</v>
      </c>
      <c r="C26" s="69" t="n">
        <f aca="false">(0.48*C20)+(0.28*C19)+(0.23*C24)+(0.01*C23)</f>
        <v>0.142939169887632</v>
      </c>
      <c r="D26" s="69" t="n">
        <f aca="false">(0.48*D20)+(0.28*D19)+(0.23*D24)+(0.01*D23)</f>
        <v>0.222326655772026</v>
      </c>
      <c r="E26" s="52"/>
      <c r="F26" s="52"/>
      <c r="G26" s="2"/>
      <c r="H26" s="2"/>
      <c r="I26" s="2"/>
      <c r="J26" s="2"/>
      <c r="K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customFormat="false" ht="15.75" hidden="false" customHeight="true" outlineLevel="0" collapsed="false">
      <c r="A27" s="2"/>
      <c r="B27" s="23" t="s">
        <v>28</v>
      </c>
      <c r="C27" s="69" t="n">
        <f aca="false">(I12/2.20462)</f>
        <v>1.28282043747111E-005</v>
      </c>
      <c r="D27" s="69" t="n">
        <f aca="false">I13/2.20462</f>
        <v>1.39707915944735E-005</v>
      </c>
      <c r="E27" s="52" t="n">
        <f aca="false">'Milk solids proportion'!B4</f>
        <v>1</v>
      </c>
      <c r="F27" s="52"/>
      <c r="G27" s="2"/>
      <c r="H27" s="2"/>
      <c r="I27" s="2"/>
      <c r="J27" s="2"/>
      <c r="K27" s="2"/>
      <c r="L27" s="52"/>
      <c r="Q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customFormat="false" ht="15.75" hidden="false" customHeight="true" outlineLevel="0" collapsed="false">
      <c r="A28" s="9"/>
      <c r="B28" s="20" t="s">
        <v>29</v>
      </c>
      <c r="C28" s="69" t="n">
        <f aca="false">M12/2.20462</f>
        <v>8.06894055169328E-005</v>
      </c>
      <c r="D28" s="69" t="n">
        <f aca="false">M13/2.20462</f>
        <v>8.78762791292385E-005</v>
      </c>
      <c r="E28" s="52" t="n">
        <f aca="false">'Milk solids proportion'!B5</f>
        <v>6.29</v>
      </c>
      <c r="F28" s="70"/>
      <c r="G28" s="2"/>
      <c r="H28" s="2"/>
      <c r="I28" s="2"/>
      <c r="J28" s="2"/>
      <c r="K28" s="2"/>
      <c r="L28" s="52"/>
      <c r="Q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customFormat="false" ht="15.75" hidden="false" customHeight="true" outlineLevel="0" collapsed="false">
      <c r="A29" s="9"/>
      <c r="B29" s="20" t="s">
        <v>30</v>
      </c>
      <c r="C29" s="69" t="n">
        <f aca="false">N12/2.20462</f>
        <v>1.31360812797042E-005</v>
      </c>
      <c r="D29" s="69" t="n">
        <f aca="false">N13/2.20462</f>
        <v>1.43060905927409E-005</v>
      </c>
      <c r="E29" s="52" t="n">
        <f aca="false">'Milk solids proportion'!B6</f>
        <v>1.024</v>
      </c>
      <c r="F29" s="70"/>
      <c r="G29" s="2"/>
      <c r="H29" s="2"/>
      <c r="I29" s="2"/>
      <c r="J29" s="2"/>
      <c r="K29" s="2"/>
      <c r="L29" s="52"/>
      <c r="Q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customFormat="false" ht="15.75" hidden="false" customHeight="true" outlineLevel="0" collapsed="false">
      <c r="A30" s="2"/>
      <c r="B30" s="20" t="s">
        <v>31</v>
      </c>
      <c r="C30" s="69" t="n">
        <f aca="false">K12/2.20462</f>
        <v>5.86248939924297E-005</v>
      </c>
      <c r="D30" s="69" t="n">
        <f aca="false">K13/2.20462</f>
        <v>6.3846517586744E-005</v>
      </c>
      <c r="E30" s="52" t="n">
        <f aca="false">'Milk solids proportion'!B7</f>
        <v>4.57</v>
      </c>
      <c r="F30" s="70"/>
      <c r="G30" s="2"/>
      <c r="H30" s="2"/>
      <c r="I30" s="2"/>
      <c r="J30" s="2"/>
      <c r="K30" s="2"/>
      <c r="L30" s="52"/>
      <c r="Q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customFormat="false" ht="15.75" hidden="false" customHeight="true" outlineLevel="0" collapsed="false">
      <c r="A31" s="9"/>
      <c r="B31" s="20" t="s">
        <v>32</v>
      </c>
      <c r="C31" s="69" t="n">
        <f aca="false">O12/2.20462</f>
        <v>3.84846131241333E-005</v>
      </c>
      <c r="D31" s="69" t="n">
        <f aca="false">O13/2.20462</f>
        <v>4.19123747834206E-005</v>
      </c>
      <c r="E31" s="52" t="n">
        <f aca="false">'Milk solids proportion'!B8</f>
        <v>3</v>
      </c>
      <c r="F31" s="70"/>
      <c r="G31" s="2"/>
      <c r="H31" s="2"/>
      <c r="I31" s="2"/>
      <c r="J31" s="2"/>
      <c r="K31" s="2"/>
      <c r="L31" s="52"/>
      <c r="Q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customFormat="false" ht="15.75" hidden="false" customHeight="true" outlineLevel="0" collapsed="false">
      <c r="A32" s="9"/>
      <c r="B32" s="20" t="s">
        <v>33</v>
      </c>
      <c r="C32" s="69" t="n">
        <f aca="false">P12/2.20462</f>
        <v>4.31027666990293E-005</v>
      </c>
      <c r="D32" s="69" t="n">
        <f aca="false">P13/2.20462</f>
        <v>4.69418597574311E-005</v>
      </c>
      <c r="E32" s="52" t="n">
        <f aca="false">'Milk solids proportion'!B9</f>
        <v>3.36</v>
      </c>
      <c r="F32" s="70"/>
      <c r="G32" s="2"/>
      <c r="H32" s="2"/>
      <c r="I32" s="2"/>
      <c r="J32" s="2"/>
      <c r="K32" s="2"/>
      <c r="L32" s="52"/>
      <c r="Q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customFormat="false" ht="15.75" hidden="false" customHeight="true" outlineLevel="0" collapsed="false">
      <c r="A33" s="9"/>
      <c r="B33" s="20" t="s">
        <v>34</v>
      </c>
      <c r="C33" s="69" t="n">
        <f aca="false">Q12/2.20462</f>
        <v>9.62115328103333E-005</v>
      </c>
      <c r="D33" s="69" t="n">
        <f aca="false">Q13/2.20462</f>
        <v>0.000104780936958551</v>
      </c>
      <c r="E33" s="52" t="n">
        <f aca="false">'Milk solids proportion'!B10</f>
        <v>7.5</v>
      </c>
      <c r="F33" s="70"/>
      <c r="G33" s="2"/>
      <c r="H33" s="2"/>
      <c r="I33" s="2"/>
      <c r="J33" s="2"/>
      <c r="K33" s="2"/>
      <c r="L33" s="52"/>
      <c r="Q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customFormat="false" ht="15.75" hidden="false" customHeight="true" outlineLevel="0" collapsed="false">
      <c r="A34" s="9"/>
      <c r="B34" s="24" t="s">
        <v>35</v>
      </c>
      <c r="C34" s="69" t="n">
        <f aca="false">J12/2.20462</f>
        <v>2.10382551745262E-005</v>
      </c>
      <c r="D34" s="69" t="n">
        <f aca="false">J13/2.20462</f>
        <v>2.29120982149366E-005</v>
      </c>
      <c r="E34" s="52" t="n">
        <f aca="false">'Milk solids proportion'!B11</f>
        <v>1.64</v>
      </c>
      <c r="F34" s="70"/>
      <c r="G34" s="2"/>
      <c r="H34" s="2"/>
      <c r="I34" s="2"/>
      <c r="J34" s="2"/>
      <c r="K34" s="2"/>
      <c r="L34" s="52"/>
      <c r="Q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customFormat="false" ht="15.75" hidden="false" customHeight="true" outlineLevel="0" collapsed="false">
      <c r="A35" s="9"/>
      <c r="B35" s="20" t="s">
        <v>36</v>
      </c>
      <c r="C35" s="69" t="n">
        <f aca="false">R12/2.20462</f>
        <v>9.15933792354372E-005</v>
      </c>
      <c r="D35" s="69" t="n">
        <f aca="false">R13/2.20462</f>
        <v>9.97514519845409E-005</v>
      </c>
      <c r="E35" s="52" t="n">
        <f aca="false">'Milk solids proportion'!B12</f>
        <v>7.14</v>
      </c>
      <c r="F35" s="70"/>
      <c r="G35" s="2"/>
      <c r="H35" s="2"/>
      <c r="I35" s="2"/>
      <c r="J35" s="2"/>
      <c r="K35" s="2"/>
      <c r="L35" s="52"/>
      <c r="Q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customFormat="false" ht="15.75" hidden="false" customHeight="true" outlineLevel="0" collapsed="false">
      <c r="A36" s="9"/>
      <c r="B36" s="20" t="s">
        <v>37</v>
      </c>
      <c r="C36" s="69" t="n">
        <f aca="false">S12/2.20462</f>
        <v>1.42649632646787E-005</v>
      </c>
      <c r="D36" s="69" t="n">
        <f aca="false">S13/2.20462</f>
        <v>1.55355202530546E-005</v>
      </c>
      <c r="E36" s="52" t="n">
        <f aca="false">'Milk solids proportion'!B13</f>
        <v>1.112</v>
      </c>
      <c r="F36" s="70"/>
      <c r="G36" s="2"/>
      <c r="H36" s="2"/>
      <c r="I36" s="2"/>
      <c r="J36" s="2"/>
      <c r="K36" s="2"/>
      <c r="L36" s="52"/>
      <c r="Q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customFormat="false" ht="15.75" hidden="false" customHeight="true" outlineLevel="0" collapsed="false">
      <c r="A37" s="9"/>
      <c r="B37" s="20" t="s">
        <v>38</v>
      </c>
      <c r="C37" s="69" t="n">
        <f aca="false">T12/2.20462</f>
        <v>9.15933792354372E-005</v>
      </c>
      <c r="D37" s="69" t="n">
        <f aca="false">T13/2.20462</f>
        <v>9.97514519845409E-005</v>
      </c>
      <c r="E37" s="52" t="n">
        <f aca="false">'Milk solids proportion'!B14</f>
        <v>7.14</v>
      </c>
      <c r="F37" s="70"/>
      <c r="G37" s="2"/>
      <c r="H37" s="2"/>
      <c r="I37" s="2"/>
      <c r="J37" s="2"/>
      <c r="K37" s="2"/>
      <c r="L37" s="52"/>
      <c r="Q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customFormat="false" ht="15.75" hidden="false" customHeight="true" outlineLevel="0" collapsed="false">
      <c r="A38" s="9"/>
      <c r="B38" s="20" t="s">
        <v>39</v>
      </c>
      <c r="C38" s="69" t="n">
        <f aca="false">U12/2.20462</f>
        <v>9.54418405478506E-006</v>
      </c>
      <c r="D38" s="69" t="n">
        <f aca="false">U13/2.20462</f>
        <v>1.03942689462883E-005</v>
      </c>
      <c r="E38" s="52" t="n">
        <f aca="false">'Milk solids proportion'!B15</f>
        <v>0.744</v>
      </c>
      <c r="F38" s="70"/>
      <c r="G38" s="2"/>
      <c r="H38" s="2"/>
      <c r="I38" s="2"/>
      <c r="J38" s="2"/>
      <c r="K38" s="2"/>
      <c r="L38" s="52"/>
      <c r="Q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customFormat="false" ht="15.75" hidden="false" customHeight="true" outlineLevel="0" collapsed="false">
      <c r="B39" s="20" t="s">
        <v>40</v>
      </c>
      <c r="C39" s="69" t="n">
        <f aca="false">V12/2.20462</f>
        <v>9.2491353541667E-005</v>
      </c>
      <c r="D39" s="69" t="n">
        <f aca="false">V13/2.20462</f>
        <v>0.000100729407396154</v>
      </c>
      <c r="E39" s="52" t="n">
        <f aca="false">'Milk solids proportion'!B16</f>
        <v>7.21</v>
      </c>
      <c r="F39" s="70"/>
      <c r="G39" s="2"/>
      <c r="H39" s="2"/>
      <c r="I39" s="2"/>
      <c r="J39" s="2"/>
      <c r="K39" s="2"/>
      <c r="L39" s="52"/>
      <c r="Q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customFormat="false" ht="15.75" hidden="false" customHeight="true" outlineLevel="0" collapsed="false">
      <c r="A40" s="2"/>
      <c r="B40" s="20" t="s">
        <v>41</v>
      </c>
      <c r="C40" s="69" t="n">
        <f aca="false">L12/2.20462</f>
        <v>1.45728401696718E-005</v>
      </c>
      <c r="D40" s="69" t="n">
        <f aca="false">L13/2.20462</f>
        <v>1.58708192513219E-005</v>
      </c>
      <c r="E40" s="52" t="n">
        <f aca="false">'Milk solids proportion'!B17</f>
        <v>1.136</v>
      </c>
      <c r="F40" s="70"/>
      <c r="G40" s="2"/>
      <c r="H40" s="2"/>
      <c r="I40" s="2"/>
      <c r="J40" s="2"/>
      <c r="K40" s="2"/>
      <c r="L40" s="52"/>
      <c r="Q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customFormat="false" ht="15.75" hidden="false" customHeight="true" outlineLevel="0" collapsed="false">
      <c r="A41" s="2"/>
      <c r="B41" s="20" t="s">
        <v>42</v>
      </c>
      <c r="C41" s="69" t="n">
        <f aca="false">'Fish and shellfish calculation'!J2</f>
        <v>36.6181621363608</v>
      </c>
      <c r="D41" s="69" t="n">
        <f aca="false">'Fish and shellfish calculation'!M2</f>
        <v>39.5476151072697</v>
      </c>
      <c r="E41" s="52"/>
      <c r="F41" s="52"/>
      <c r="G41" s="2"/>
      <c r="H41" s="2"/>
      <c r="I41" s="2"/>
      <c r="J41" s="2"/>
      <c r="K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customFormat="false" ht="15.75" hidden="false" customHeight="true" outlineLevel="0" collapsed="false">
      <c r="A42" s="71"/>
      <c r="B42" s="20" t="s">
        <v>43</v>
      </c>
      <c r="C42" s="69" t="n">
        <f aca="false">'Fish and shellfish calculation'!J3</f>
        <v>0.181223153853056</v>
      </c>
      <c r="D42" s="69" t="n">
        <f aca="false">'Fish and shellfish calculation'!M3</f>
        <v>2.04933892344174</v>
      </c>
      <c r="E42" s="52"/>
      <c r="F42" s="52"/>
      <c r="G42" s="2"/>
      <c r="H42" s="2"/>
      <c r="I42" s="2"/>
      <c r="J42" s="2"/>
      <c r="K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customFormat="false" ht="15.75" hidden="false" customHeight="true" outlineLevel="0" collapsed="false">
      <c r="A43" s="2"/>
      <c r="B43" s="20" t="s">
        <v>44</v>
      </c>
      <c r="C43" s="69" t="n">
        <f aca="false">'Fish and shellfish calculation'!J4</f>
        <v>0.153860510592743</v>
      </c>
      <c r="D43" s="69" t="n">
        <f aca="false">'Fish and shellfish calculation'!M4</f>
        <v>0.166169351440162</v>
      </c>
      <c r="E43" s="52"/>
      <c r="F43" s="52"/>
      <c r="G43" s="2"/>
      <c r="H43" s="2"/>
      <c r="I43" s="2"/>
      <c r="J43" s="2"/>
      <c r="K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customFormat="false" ht="15.75" hidden="false" customHeight="true" outlineLevel="0" collapsed="false">
      <c r="A44" s="2"/>
      <c r="B44" s="20" t="s">
        <v>45</v>
      </c>
      <c r="C44" s="69" t="n">
        <f aca="false">'Fish and shellfish calculation'!J5</f>
        <v>1.63563123313303</v>
      </c>
      <c r="D44" s="69" t="n">
        <f aca="false">'Fish and shellfish calculation'!M5</f>
        <v>13.8970328547309</v>
      </c>
      <c r="E44" s="52"/>
      <c r="F44" s="52"/>
      <c r="G44" s="2"/>
      <c r="H44" s="2"/>
      <c r="I44" s="2"/>
      <c r="J44" s="2"/>
      <c r="K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customFormat="false" ht="15.75" hidden="false" customHeight="true" outlineLevel="0" collapsed="false">
      <c r="A45" s="2"/>
      <c r="B45" s="20" t="s">
        <v>46</v>
      </c>
      <c r="C45" s="69" t="n">
        <f aca="false">'Fish and shellfish calculation'!J6</f>
        <v>0.0666603340469216</v>
      </c>
      <c r="D45" s="69" t="n">
        <f aca="false">'Fish and shellfish calculation'!M6</f>
        <v>0.0666603340469216</v>
      </c>
      <c r="E45" s="52"/>
      <c r="F45" s="52"/>
      <c r="G45" s="2"/>
      <c r="H45" s="2"/>
      <c r="I45" s="2"/>
      <c r="J45" s="2"/>
      <c r="K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customFormat="false" ht="29.1" hidden="false" customHeight="true" outlineLevel="0" collapsed="false">
      <c r="A46" s="2"/>
      <c r="B46" s="28" t="s">
        <v>47</v>
      </c>
      <c r="C46" s="69" t="n">
        <f aca="false">'Fish and shellfish calculation'!J7</f>
        <v>0.317912164902318</v>
      </c>
      <c r="D46" s="69" t="n">
        <f aca="false">'Fish and shellfish calculation'!M7</f>
        <v>0.317912164902318</v>
      </c>
      <c r="E46" s="52"/>
      <c r="F46" s="52"/>
      <c r="G46" s="2"/>
      <c r="H46" s="2"/>
      <c r="I46" s="2"/>
      <c r="J46" s="2"/>
      <c r="K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customFormat="false" ht="15.75" hidden="false" customHeight="true" outlineLevel="0" collapsed="false">
      <c r="A47" s="2"/>
      <c r="B47" s="20" t="s">
        <v>48</v>
      </c>
      <c r="C47" s="69" t="n">
        <f aca="false">'Fish and shellfish calculation'!J8</f>
        <v>0.323605219693217</v>
      </c>
      <c r="D47" s="69" t="n">
        <f aca="false">'Fish and shellfish calculation'!M8</f>
        <v>6.76701290135715</v>
      </c>
      <c r="E47" s="52"/>
      <c r="F47" s="52"/>
      <c r="G47" s="2"/>
      <c r="H47" s="2"/>
      <c r="I47" s="2"/>
      <c r="J47" s="2"/>
      <c r="K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customFormat="false" ht="15.75" hidden="false" customHeight="true" outlineLevel="0" collapsed="false">
      <c r="A48" s="2"/>
      <c r="B48" s="20" t="s">
        <v>49</v>
      </c>
      <c r="C48" s="69" t="n">
        <f aca="false">'Fish and shellfish calculation'!J9</f>
        <v>0.0337070861085491</v>
      </c>
      <c r="D48" s="69" t="n">
        <f aca="false">'Fish and shellfish calculation'!M9</f>
        <v>0.036403652997233</v>
      </c>
      <c r="E48" s="52"/>
      <c r="F48" s="52"/>
      <c r="G48" s="2"/>
      <c r="H48" s="2"/>
      <c r="I48" s="2"/>
      <c r="J48" s="2"/>
      <c r="K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customFormat="false" ht="15.75" hidden="false" customHeight="true" outlineLevel="0" collapsed="false">
      <c r="A49" s="2"/>
      <c r="B49" s="20" t="s">
        <v>50</v>
      </c>
      <c r="C49" s="69" t="n">
        <f aca="false">'Fish and shellfish calculation'!J10</f>
        <v>1.01321645242196</v>
      </c>
      <c r="D49" s="69" t="n">
        <f aca="false">'Fish and shellfish calculation'!M10</f>
        <v>8.61251907889978</v>
      </c>
      <c r="E49" s="52"/>
      <c r="F49" s="52"/>
      <c r="G49" s="2"/>
      <c r="H49" s="2"/>
      <c r="I49" s="2"/>
      <c r="J49" s="2"/>
      <c r="K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customFormat="false" ht="15.75" hidden="false" customHeight="true" outlineLevel="0" collapsed="false">
      <c r="A50" s="2"/>
      <c r="B50" s="20" t="s">
        <v>51</v>
      </c>
      <c r="C50" s="69" t="n">
        <f aca="false">'Fish and shellfish calculation'!J11</f>
        <v>0.33907018969961</v>
      </c>
      <c r="D50" s="69" t="n">
        <f aca="false">'Fish and shellfish calculation'!M11</f>
        <v>0.366195804875579</v>
      </c>
      <c r="E50" s="52"/>
      <c r="F50" s="52"/>
      <c r="G50" s="2"/>
      <c r="H50" s="2"/>
      <c r="I50" s="2"/>
      <c r="J50" s="2"/>
      <c r="K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customFormat="false" ht="15.75" hidden="false" customHeight="true" outlineLevel="0" collapsed="false">
      <c r="A51" s="2"/>
      <c r="B51" s="20" t="s">
        <v>52</v>
      </c>
      <c r="C51" s="69" t="n">
        <f aca="false">'Fish and shellfish calculation'!J12</f>
        <v>0.0905852566620569</v>
      </c>
      <c r="D51" s="69" t="n">
        <f aca="false">'Fish and shellfish calculation'!M12</f>
        <v>0.0978320771950215</v>
      </c>
      <c r="E51" s="2"/>
      <c r="F51" s="2"/>
      <c r="G51" s="2"/>
      <c r="H51" s="2"/>
      <c r="I51" s="2"/>
      <c r="J51" s="2"/>
      <c r="K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customFormat="false" ht="15.75" hidden="false" customHeight="true" outlineLevel="0" collapsed="false">
      <c r="A52" s="2"/>
      <c r="B52" s="20" t="s">
        <v>53</v>
      </c>
      <c r="C52" s="69" t="n">
        <f aca="false">'Fish and shellfish calculation'!J13</f>
        <v>0.96401553167185</v>
      </c>
      <c r="D52" s="69" t="n">
        <f aca="false">'Fish and shellfish calculation'!M13</f>
        <v>1.9280310633437</v>
      </c>
      <c r="E52" s="2"/>
      <c r="F52" s="2"/>
      <c r="G52" s="2"/>
      <c r="H52" s="2"/>
      <c r="I52" s="2"/>
      <c r="J52" s="2"/>
      <c r="K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customFormat="false" ht="15.75" hidden="false" customHeight="true" outlineLevel="0" collapsed="false">
      <c r="A53" s="2"/>
      <c r="B53" s="20" t="s">
        <v>54</v>
      </c>
      <c r="C53" s="69" t="n">
        <f aca="false">'Fish and shellfish calculation'!J14</f>
        <v>0.845445485005855</v>
      </c>
      <c r="D53" s="69" t="n">
        <f aca="false">'Fish and shellfish calculation'!M14</f>
        <v>10.0197613705576</v>
      </c>
      <c r="E53" s="2"/>
      <c r="F53" s="2"/>
      <c r="G53" s="2"/>
      <c r="H53" s="2"/>
      <c r="I53" s="2"/>
      <c r="J53" s="2"/>
      <c r="K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customFormat="false" ht="15.75" hidden="false" customHeight="true" outlineLevel="0" collapsed="false">
      <c r="A54" s="2"/>
      <c r="B54" s="20" t="s">
        <v>55</v>
      </c>
      <c r="C54" s="69" t="n">
        <f aca="false">'Fish and shellfish calculation'!J15</f>
        <v>1.85633158134448</v>
      </c>
      <c r="D54" s="69" t="n">
        <f aca="false">'Fish and shellfish calculation'!M15</f>
        <v>2.00483810785204</v>
      </c>
      <c r="E54" s="2"/>
      <c r="F54" s="2"/>
      <c r="G54" s="2"/>
      <c r="H54" s="2"/>
      <c r="I54" s="2"/>
      <c r="J54" s="2"/>
      <c r="K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customFormat="false" ht="15.75" hidden="false" customHeight="true" outlineLevel="0" collapsed="false">
      <c r="A55" s="2"/>
      <c r="B55" s="20" t="s">
        <v>56</v>
      </c>
      <c r="C55" s="69" t="n">
        <f aca="false">'Fish and shellfish calculation'!J16</f>
        <v>0.677135726985295</v>
      </c>
      <c r="D55" s="69" t="n">
        <f aca="false">'Fish and shellfish calculation'!M16</f>
        <v>0.731306585144119</v>
      </c>
      <c r="E55" s="2"/>
      <c r="F55" s="2"/>
      <c r="G55" s="2"/>
      <c r="H55" s="2"/>
      <c r="I55" s="2"/>
      <c r="J55" s="2"/>
      <c r="K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customFormat="false" ht="15.75" hidden="false" customHeight="true" outlineLevel="0" collapsed="false">
      <c r="A56" s="2"/>
      <c r="B56" s="20" t="s">
        <v>57</v>
      </c>
      <c r="C56" s="69" t="n">
        <f aca="false">'Fish and shellfish calculation'!J17</f>
        <v>0.909327435931252</v>
      </c>
      <c r="D56" s="69" t="n">
        <f aca="false">'Fish and shellfish calculation'!M17</f>
        <v>0.982073630805752</v>
      </c>
      <c r="E56" s="2"/>
      <c r="F56" s="2"/>
      <c r="G56" s="2"/>
      <c r="H56" s="2"/>
      <c r="I56" s="2"/>
      <c r="J56" s="2"/>
      <c r="K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customFormat="false" ht="15.75" hidden="false" customHeight="true" outlineLevel="0" collapsed="false">
      <c r="A57" s="2"/>
      <c r="B57" s="20" t="s">
        <v>58</v>
      </c>
      <c r="C57" s="69" t="n">
        <f aca="false">'Fish and shellfish calculation'!J18</f>
        <v>0.0752102014874227</v>
      </c>
      <c r="D57" s="69" t="n">
        <f aca="false">'Fish and shellfish calculation'!M18</f>
        <v>0.0812270176064165</v>
      </c>
      <c r="E57" s="2"/>
      <c r="F57" s="2"/>
      <c r="G57" s="2"/>
      <c r="H57" s="2"/>
      <c r="I57" s="2"/>
      <c r="J57" s="2"/>
      <c r="K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customFormat="false" ht="15.75" hidden="false" customHeight="true" outlineLevel="0" collapsed="false">
      <c r="A58" s="2"/>
      <c r="B58" s="20" t="s">
        <v>59</v>
      </c>
      <c r="C58" s="69" t="n">
        <f aca="false">'Fish and shellfish calculation'!J19</f>
        <v>3.02393856141079</v>
      </c>
      <c r="D58" s="69" t="n">
        <f aca="false">'Fish and shellfish calculation'!M19</f>
        <v>3.26585364632366</v>
      </c>
      <c r="E58" s="2"/>
      <c r="F58" s="2"/>
      <c r="G58" s="2"/>
      <c r="H58" s="2"/>
      <c r="I58" s="2"/>
      <c r="J58" s="2"/>
      <c r="K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customFormat="false" ht="15.75" hidden="false" customHeight="true" outlineLevel="0" collapsed="false">
      <c r="A59" s="2"/>
      <c r="B59" s="20" t="s">
        <v>60</v>
      </c>
      <c r="C59" s="69" t="n">
        <f aca="false">'Fish and shellfish calculation'!J20</f>
        <v>0.559138878136841</v>
      </c>
      <c r="D59" s="69" t="n">
        <f aca="false">'Fish and shellfish calculation'!M20</f>
        <v>0.603869988387788</v>
      </c>
      <c r="E59" s="2"/>
      <c r="F59" s="2"/>
      <c r="G59" s="2"/>
      <c r="H59" s="2"/>
      <c r="I59" s="2"/>
      <c r="J59" s="2"/>
      <c r="K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customFormat="false" ht="15.75" hidden="false" customHeight="true" outlineLevel="0" collapsed="false">
      <c r="A60" s="2"/>
      <c r="B60" s="20" t="s">
        <v>61</v>
      </c>
      <c r="C60" s="69" t="n">
        <f aca="false">'Fish and shellfish calculation'!J21</f>
        <v>3.97888517048807</v>
      </c>
      <c r="D60" s="69" t="n">
        <f aca="false">'Fish and shellfish calculation'!M21</f>
        <v>7.95777034097614</v>
      </c>
      <c r="E60" s="2"/>
      <c r="F60" s="2"/>
      <c r="G60" s="2"/>
      <c r="H60" s="2"/>
      <c r="I60" s="2"/>
      <c r="J60" s="2"/>
      <c r="K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customFormat="false" ht="15.75" hidden="false" customHeight="true" outlineLevel="0" collapsed="false">
      <c r="A61" s="2"/>
      <c r="B61" s="20" t="s">
        <v>62</v>
      </c>
      <c r="C61" s="69" t="n">
        <f aca="false">'Fish and shellfish calculation'!J22</f>
        <v>0.0734682392995853</v>
      </c>
      <c r="D61" s="69" t="n">
        <f aca="false">'Fish and shellfish calculation'!M22</f>
        <v>0.0793456984435522</v>
      </c>
      <c r="E61" s="2"/>
      <c r="F61" s="2"/>
      <c r="G61" s="2"/>
      <c r="H61" s="2"/>
      <c r="I61" s="2"/>
      <c r="J61" s="2"/>
      <c r="K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customFormat="false" ht="15.75" hidden="false" customHeight="true" outlineLevel="0" collapsed="false">
      <c r="A62" s="2"/>
      <c r="B62" s="20" t="s">
        <v>63</v>
      </c>
      <c r="C62" s="69" t="n">
        <f aca="false">'Fish and shellfish calculation'!J23</f>
        <v>1.92516487637812</v>
      </c>
      <c r="D62" s="69" t="n">
        <f aca="false">'Fish and shellfish calculation'!M23</f>
        <v>19.4041465152039</v>
      </c>
      <c r="E62" s="2"/>
      <c r="F62" s="2"/>
      <c r="G62" s="2"/>
      <c r="H62" s="2"/>
      <c r="I62" s="2"/>
      <c r="J62" s="2"/>
      <c r="K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customFormat="false" ht="17.9" hidden="false" customHeight="true" outlineLevel="0" collapsed="false">
      <c r="A63" s="2"/>
      <c r="B63" s="20" t="s">
        <v>64</v>
      </c>
      <c r="C63" s="69" t="n">
        <f aca="false">'Fish and shellfish calculation'!J24</f>
        <v>1.23932488916841</v>
      </c>
      <c r="D63" s="69" t="n">
        <f aca="false">'Fish and shellfish calculation'!M24</f>
        <v>1.33847088030189</v>
      </c>
      <c r="E63" s="2"/>
      <c r="F63" s="2"/>
      <c r="G63" s="2"/>
      <c r="H63" s="2"/>
      <c r="I63" s="2"/>
      <c r="J63" s="2"/>
      <c r="K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customFormat="false" ht="15.75" hidden="false" customHeight="true" outlineLevel="0" collapsed="false">
      <c r="A64" s="2"/>
      <c r="B64" s="20" t="s">
        <v>65</v>
      </c>
      <c r="C64" s="69" t="n">
        <f aca="false">'Fish and shellfish calculation'!J25</f>
        <v>1.98291982266946</v>
      </c>
      <c r="D64" s="69" t="n">
        <f aca="false">'Fish and shellfish calculation'!M25</f>
        <v>20.4254750097145</v>
      </c>
      <c r="E64" s="2"/>
      <c r="F64" s="2"/>
      <c r="G64" s="2"/>
      <c r="H64" s="2"/>
      <c r="I64" s="2"/>
      <c r="J64" s="2"/>
      <c r="K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customFormat="false" ht="15.75" hidden="false" customHeight="true" outlineLevel="0" collapsed="false">
      <c r="A65" s="2"/>
      <c r="B65" s="20" t="s">
        <v>66</v>
      </c>
      <c r="C65" s="69" t="n">
        <f aca="false">'Fish and shellfish calculation'!J26</f>
        <v>0.931386002179354</v>
      </c>
      <c r="D65" s="69" t="n">
        <f aca="false">'Fish and shellfish calculation'!M26</f>
        <v>3.5307295843793</v>
      </c>
      <c r="E65" s="2"/>
      <c r="F65" s="2"/>
      <c r="G65" s="2"/>
      <c r="H65" s="2"/>
      <c r="I65" s="2"/>
      <c r="J65" s="2"/>
      <c r="K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customFormat="false" ht="15.75" hidden="false" customHeight="true" outlineLevel="0" collapsed="false">
      <c r="A66" s="2"/>
      <c r="B66" s="20" t="s">
        <v>67</v>
      </c>
      <c r="C66" s="69" t="n">
        <f aca="false">'Fish and shellfish calculation'!J27</f>
        <v>1.01622525277437</v>
      </c>
      <c r="D66" s="69" t="n">
        <f aca="false">'Fish and shellfish calculation'!M27</f>
        <v>1.09752327299632</v>
      </c>
      <c r="E66" s="2"/>
      <c r="F66" s="2"/>
      <c r="G66" s="2"/>
      <c r="H66" s="2"/>
      <c r="I66" s="2"/>
      <c r="J66" s="2"/>
      <c r="K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customFormat="false" ht="16.4" hidden="false" customHeight="true" outlineLevel="0" collapsed="false">
      <c r="A67" s="4"/>
      <c r="B67" s="20" t="s">
        <v>68</v>
      </c>
      <c r="C67" s="69" t="n">
        <f aca="false">'Fish and shellfish calculation'!J28</f>
        <v>2.04326773580012</v>
      </c>
      <c r="D67" s="69" t="n">
        <f aca="false">'Fish and shellfish calculation'!M28</f>
        <v>3.73145500361154</v>
      </c>
      <c r="E67" s="2"/>
      <c r="F67" s="2"/>
      <c r="G67" s="2"/>
      <c r="H67" s="2"/>
      <c r="I67" s="2"/>
      <c r="J67" s="2"/>
      <c r="K67" s="2"/>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customFormat="false" ht="15.75" hidden="false" customHeight="true" outlineLevel="0" collapsed="false">
      <c r="A68" s="2"/>
      <c r="B68" s="20" t="s">
        <v>69</v>
      </c>
      <c r="C68" s="69" t="n">
        <f aca="false">'Fish and shellfish calculation'!J29</f>
        <v>2.2330063680215</v>
      </c>
      <c r="D68" s="69" t="n">
        <f aca="false">'Fish and shellfish calculation'!M29</f>
        <v>2.41164687746322</v>
      </c>
      <c r="E68" s="2"/>
      <c r="F68" s="2"/>
      <c r="G68" s="2"/>
      <c r="H68" s="2"/>
      <c r="I68" s="2"/>
      <c r="J68" s="2"/>
      <c r="K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customFormat="false" ht="15.75" hidden="false" customHeight="true" outlineLevel="0" collapsed="false">
      <c r="A69" s="2"/>
      <c r="B69" s="20" t="s">
        <v>70</v>
      </c>
      <c r="C69" s="69" t="n">
        <f aca="false">'Fish and shellfish calculation'!J30</f>
        <v>0.959781865077528</v>
      </c>
      <c r="D69" s="69" t="n">
        <f aca="false">'Fish and shellfish calculation'!M30</f>
        <v>22.6752107898335</v>
      </c>
      <c r="E69" s="2"/>
      <c r="F69" s="2"/>
      <c r="G69" s="2"/>
      <c r="H69" s="2"/>
      <c r="I69" s="2"/>
      <c r="J69" s="2"/>
      <c r="K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customFormat="false" ht="17.15" hidden="false" customHeight="true" outlineLevel="0" collapsed="false">
      <c r="A70" s="4"/>
      <c r="B70" s="20" t="s">
        <v>71</v>
      </c>
      <c r="C70" s="69" t="n">
        <f aca="false">'Fish and shellfish calculation'!J31</f>
        <v>0.142080051759977</v>
      </c>
      <c r="D70" s="69" t="n">
        <f aca="false">'Fish and shellfish calculation'!M31</f>
        <v>17.033581851049</v>
      </c>
      <c r="E70" s="2"/>
      <c r="F70" s="2"/>
      <c r="G70" s="2"/>
      <c r="H70" s="2"/>
      <c r="I70" s="2"/>
      <c r="J70" s="2"/>
      <c r="K70" s="2"/>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row>
    <row r="71" customFormat="false" ht="14.15" hidden="false" customHeight="true" outlineLevel="0" collapsed="false">
      <c r="A71" s="2"/>
      <c r="B71" s="20" t="s">
        <v>72</v>
      </c>
      <c r="C71" s="69" t="n">
        <f aca="false">'Fish and shellfish calculation'!J32</f>
        <v>0.213223662521876</v>
      </c>
      <c r="D71" s="69" t="n">
        <f aca="false">'Fish and shellfish calculation'!M32</f>
        <v>0.230281555523626</v>
      </c>
      <c r="E71" s="2"/>
      <c r="F71" s="2"/>
      <c r="G71" s="2"/>
      <c r="H71" s="2"/>
      <c r="I71" s="2"/>
      <c r="J71" s="2"/>
      <c r="K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customFormat="false" ht="15.75" hidden="false" customHeight="true" outlineLevel="0" collapsed="false">
      <c r="A72" s="2"/>
      <c r="B72" s="20" t="s">
        <v>73</v>
      </c>
      <c r="C72" s="69" t="n">
        <f aca="false">'Fish and shellfish calculation'!J33</f>
        <v>0.128713893552752</v>
      </c>
      <c r="D72" s="69" t="n">
        <f aca="false">'Fish and shellfish calculation'!M33</f>
        <v>22.4097888467654</v>
      </c>
      <c r="E72" s="2"/>
      <c r="F72" s="2"/>
      <c r="G72" s="2"/>
      <c r="H72" s="2"/>
      <c r="I72" s="2"/>
      <c r="J72" s="2"/>
      <c r="K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customFormat="false" ht="19.4" hidden="false" customHeight="true" outlineLevel="0" collapsed="false">
      <c r="A73" s="4"/>
      <c r="B73" s="20" t="s">
        <v>74</v>
      </c>
      <c r="C73" s="69" t="n">
        <f aca="false">'Fish and shellfish calculation'!J34</f>
        <v>7.49594221411004</v>
      </c>
      <c r="D73" s="69" t="n">
        <f aca="false">'Fish and shellfish calculation'!M34</f>
        <v>8.09561759123885</v>
      </c>
      <c r="E73" s="2"/>
      <c r="F73" s="2"/>
      <c r="G73" s="2"/>
      <c r="H73" s="2"/>
      <c r="I73" s="2"/>
      <c r="J73" s="2"/>
      <c r="K73" s="2"/>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row>
    <row r="74" customFormat="false" ht="14.15" hidden="false" customHeight="true" outlineLevel="0" collapsed="false">
      <c r="A74" s="2"/>
      <c r="B74" s="20" t="s">
        <v>75</v>
      </c>
      <c r="C74" s="69" t="n">
        <f aca="false">'Fish and shellfish calculation'!J35</f>
        <v>10.1351110165966</v>
      </c>
      <c r="D74" s="69" t="n">
        <f aca="false">'Fish and shellfish calculation'!M35</f>
        <v>10.9459198979243</v>
      </c>
      <c r="E74" s="2"/>
      <c r="F74" s="2"/>
      <c r="G74" s="2"/>
      <c r="H74" s="2"/>
      <c r="I74" s="2"/>
      <c r="J74" s="2"/>
      <c r="K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customFormat="false" ht="15.75" hidden="false" customHeight="true" outlineLevel="0" collapsed="false">
      <c r="A75" s="2"/>
      <c r="B75" s="20" t="s">
        <v>76</v>
      </c>
      <c r="C75" s="69" t="n">
        <f aca="false">'Fish and shellfish calculation'!J36</f>
        <v>39.7888517048807</v>
      </c>
      <c r="D75" s="69" t="n">
        <f aca="false">'Fish and shellfish calculation'!M36</f>
        <v>68.4822273101474</v>
      </c>
      <c r="E75" s="2"/>
      <c r="F75" s="2"/>
      <c r="G75" s="2"/>
      <c r="H75" s="2"/>
      <c r="I75" s="2"/>
      <c r="J75" s="2"/>
      <c r="K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customFormat="false" ht="15.75" hidden="false" customHeight="true" outlineLevel="0" collapsed="false">
      <c r="A76" s="2"/>
      <c r="B76" s="20" t="s">
        <v>77</v>
      </c>
      <c r="C76" s="69" t="n">
        <f aca="false">'Fish and shellfish calculation'!J37</f>
        <v>39.7888517048807</v>
      </c>
      <c r="D76" s="69" t="n">
        <f aca="false">'Fish and shellfish calculation'!M37</f>
        <v>42.9719598412711</v>
      </c>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customFormat="false" ht="15.75" hidden="false" customHeight="true" outlineLevel="0" collapsed="false">
      <c r="A77" s="2"/>
      <c r="B77" s="20" t="s">
        <v>78</v>
      </c>
      <c r="C77" s="69" t="n">
        <f aca="false">'Fish and shellfish calculation'!J38</f>
        <v>39.7888517048807</v>
      </c>
      <c r="D77" s="69" t="n">
        <f aca="false">'Fish and shellfish calculation'!M38</f>
        <v>72.3955670718089</v>
      </c>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customFormat="false" ht="15.75" hidden="false" customHeight="true" outlineLevel="0" collapsed="false">
      <c r="A78" s="2"/>
      <c r="B78" s="20" t="s">
        <v>79</v>
      </c>
      <c r="C78" s="69" t="n">
        <f aca="false">'Fish and shellfish calculation'!J39</f>
        <v>16.6269846783951</v>
      </c>
      <c r="D78" s="69" t="n">
        <f aca="false">'Fish and shellfish calculation'!M39</f>
        <v>17.9571434526667</v>
      </c>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customFormat="false" ht="15.75" hidden="false" customHeight="true" outlineLevel="0" collapsed="false">
      <c r="A79" s="2"/>
      <c r="B79" s="20" t="s">
        <v>80</v>
      </c>
      <c r="C79" s="69" t="n">
        <f aca="false">'Fish and shellfish calculation'!J40</f>
        <v>2.54061999531686</v>
      </c>
      <c r="D79" s="69" t="n">
        <f aca="false">'Fish and shellfish calculation'!M40</f>
        <v>2.74386959494221</v>
      </c>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customFormat="false" ht="15.75" hidden="false" customHeight="true" outlineLevel="0" collapsed="false">
      <c r="A80" s="2"/>
      <c r="B80" s="20" t="s">
        <v>81</v>
      </c>
      <c r="C80" s="69" t="n">
        <f aca="false">'Fish and shellfish calculation'!J41</f>
        <v>0.419294610312109</v>
      </c>
      <c r="D80" s="69" t="n">
        <f aca="false">'Fish and shellfish calculation'!M41</f>
        <v>0.838589220624218</v>
      </c>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customFormat="false" ht="15.75" hidden="false" customHeight="true" outlineLevel="0" collapsed="false">
      <c r="A81" s="2"/>
      <c r="B81" s="20" t="s">
        <v>82</v>
      </c>
      <c r="C81" s="69" t="n">
        <f aca="false">'Fish and shellfish calculation'!J42</f>
        <v>2.02350289388329</v>
      </c>
      <c r="D81" s="69" t="n">
        <f aca="false">'Fish and shellfish calculation'!M42</f>
        <v>6.61996680272443</v>
      </c>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customFormat="false" ht="15.75" hidden="false" customHeight="true" outlineLevel="0" collapsed="false">
      <c r="A82" s="2"/>
      <c r="B82" s="20" t="s">
        <v>83</v>
      </c>
      <c r="C82" s="69" t="n">
        <f aca="false">'Fish and shellfish calculation'!J43</f>
        <v>0.636172502357943</v>
      </c>
      <c r="D82" s="69" t="n">
        <f aca="false">'Fish and shellfish calculation'!M43</f>
        <v>0.687066302546578</v>
      </c>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customFormat="false" ht="15.75" hidden="false" customHeight="true" outlineLevel="0" collapsed="false">
      <c r="A83" s="2"/>
      <c r="B83" s="20" t="s">
        <v>84</v>
      </c>
      <c r="C83" s="69" t="n">
        <f aca="false">'Fish and shellfish calculation'!J44</f>
        <v>2.32853880640726</v>
      </c>
      <c r="D83" s="69" t="n">
        <f aca="false">'Fish and shellfish calculation'!M44</f>
        <v>7.3188586139179</v>
      </c>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customFormat="false" ht="15.75" hidden="false" customHeight="true" outlineLevel="0" collapsed="false">
      <c r="A84" s="2"/>
      <c r="B84" s="20" t="s">
        <v>85</v>
      </c>
      <c r="C84" s="69" t="n">
        <f aca="false">'Fish and shellfish calculation'!J45</f>
        <v>0.270078723894358</v>
      </c>
      <c r="D84" s="69" t="n">
        <f aca="false">'Fish and shellfish calculation'!M45</f>
        <v>20.1665894216482</v>
      </c>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customFormat="false" ht="15.75" hidden="false" customHeight="true" outlineLevel="0" collapsed="false">
      <c r="A85" s="2"/>
      <c r="B85" s="20" t="s">
        <v>86</v>
      </c>
      <c r="C85" s="69" t="n">
        <f aca="false">'Fish and shellfish calculation'!J46</f>
        <v>0.158749437231882</v>
      </c>
      <c r="D85" s="69" t="n">
        <f aca="false">'Fish and shellfish calculation'!M46</f>
        <v>0.171449392210432</v>
      </c>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customFormat="false" ht="15.75" hidden="false" customHeight="true" outlineLevel="0" collapsed="false">
      <c r="A86" s="2"/>
      <c r="B86" s="20" t="s">
        <v>87</v>
      </c>
      <c r="C86" s="69" t="n">
        <f aca="false">'Fish and shellfish calculation'!J47</f>
        <v>0.2976477906955</v>
      </c>
      <c r="D86" s="69" t="n">
        <f aca="false">'Fish and shellfish calculation'!M47</f>
        <v>22.8567678352078</v>
      </c>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customFormat="false" ht="15.75" hidden="false" customHeight="true" outlineLevel="0" collapsed="false">
      <c r="A87" s="2"/>
      <c r="B87" s="20" t="s">
        <v>88</v>
      </c>
      <c r="C87" s="69" t="n">
        <f aca="false">'Fish and shellfish calculation'!J48</f>
        <v>0.0395841806571042</v>
      </c>
      <c r="D87" s="69" t="n">
        <f aca="false">'Fish and shellfish calculation'!M48</f>
        <v>0.0427509151096725</v>
      </c>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customFormat="false" ht="15.75" hidden="false" customHeight="true" outlineLevel="0" collapsed="false">
      <c r="A88" s="2"/>
      <c r="B88" s="20" t="s">
        <v>89</v>
      </c>
      <c r="C88" s="69" t="n">
        <f aca="false">'Fish and shellfish calculation'!J49</f>
        <v>0.00548367003298299</v>
      </c>
      <c r="D88" s="69" t="n">
        <f aca="false">'Fish and shellfish calculation'!M49</f>
        <v>0.00592236363562163</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customFormat="false" ht="15.75" hidden="false" customHeight="true" outlineLevel="0" collapsed="false">
      <c r="A905" s="2"/>
      <c r="B905" s="2"/>
      <c r="C905" s="2"/>
      <c r="D905" s="2"/>
      <c r="E905" s="2"/>
      <c r="F905" s="2"/>
      <c r="G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customFormat="false" ht="15.75" hidden="false" customHeight="true" outlineLevel="0" collapsed="false">
      <c r="A906" s="2"/>
      <c r="B906" s="2"/>
      <c r="C906" s="2"/>
      <c r="D906" s="2"/>
      <c r="E906" s="2"/>
      <c r="F906" s="2"/>
      <c r="G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customFormat="false" ht="15.75" hidden="false" customHeight="true" outlineLevel="0" collapsed="false">
      <c r="A907" s="2"/>
      <c r="B907" s="2"/>
      <c r="C907" s="2"/>
      <c r="D907" s="2"/>
      <c r="E907" s="2"/>
      <c r="F907" s="2"/>
      <c r="G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customFormat="false" ht="15.75" hidden="false" customHeight="true" outlineLevel="0" collapsed="false">
      <c r="A908" s="2"/>
      <c r="B908" s="2"/>
      <c r="C908" s="2"/>
      <c r="D908" s="2"/>
      <c r="E908" s="2"/>
      <c r="F908" s="2"/>
      <c r="G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customFormat="false" ht="15.75" hidden="false" customHeight="true" outlineLevel="0" collapsed="false">
      <c r="A909" s="2"/>
      <c r="B909" s="2"/>
      <c r="C909" s="2"/>
      <c r="D909" s="2"/>
      <c r="E909" s="2"/>
      <c r="F909" s="2"/>
      <c r="G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customFormat="false" ht="15.75" hidden="false" customHeight="true" outlineLevel="0" collapsed="false">
      <c r="A910" s="2"/>
      <c r="B910" s="2"/>
      <c r="C910" s="2"/>
      <c r="D910" s="2"/>
      <c r="E910" s="2"/>
      <c r="F910" s="2"/>
      <c r="G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customFormat="false" ht="15.75" hidden="false" customHeight="true" outlineLevel="0" collapsed="false">
      <c r="A911" s="2"/>
      <c r="B911" s="2"/>
      <c r="C911" s="2"/>
      <c r="D911" s="2"/>
      <c r="E911" s="2"/>
      <c r="F911" s="2"/>
      <c r="G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customFormat="false" ht="15.75" hidden="false" customHeight="true" outlineLevel="0" collapsed="false">
      <c r="A912" s="2"/>
      <c r="B912" s="2"/>
      <c r="C912" s="2"/>
      <c r="D912" s="2"/>
      <c r="E912" s="2"/>
      <c r="F912" s="2"/>
      <c r="G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customFormat="false" ht="15.75" hidden="false" customHeight="true" outlineLevel="0" collapsed="false">
      <c r="A913" s="2"/>
      <c r="B913" s="2"/>
      <c r="C913" s="2"/>
      <c r="D913" s="2"/>
      <c r="E913" s="2"/>
      <c r="F913" s="2"/>
      <c r="G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customFormat="false" ht="15.75" hidden="false" customHeight="true" outlineLevel="0" collapsed="false">
      <c r="A914" s="2"/>
      <c r="B914" s="2"/>
      <c r="C914" s="2"/>
      <c r="D914" s="2"/>
      <c r="E914" s="2"/>
      <c r="F914" s="2"/>
      <c r="G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customFormat="false" ht="15.75" hidden="false" customHeight="true" outlineLevel="0" collapsed="false">
      <c r="A915" s="2"/>
      <c r="B915" s="2"/>
      <c r="C915" s="2"/>
      <c r="D915" s="2"/>
      <c r="E915" s="2"/>
      <c r="F915" s="2"/>
      <c r="G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customFormat="false" ht="15.75" hidden="false" customHeight="true" outlineLevel="0" collapsed="false">
      <c r="A916" s="2"/>
      <c r="B916" s="2"/>
      <c r="C916" s="2"/>
      <c r="D916" s="2"/>
      <c r="E916" s="2"/>
      <c r="F916" s="2"/>
      <c r="G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customFormat="false" ht="15.75" hidden="false" customHeight="true" outlineLevel="0" collapsed="false">
      <c r="A917" s="2"/>
      <c r="B917" s="2"/>
      <c r="C917" s="2"/>
      <c r="D917" s="2"/>
      <c r="E917" s="2"/>
      <c r="F917" s="2"/>
      <c r="G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customFormat="false" ht="15.75" hidden="false" customHeight="true" outlineLevel="0" collapsed="false">
      <c r="A918" s="2"/>
      <c r="B918" s="2"/>
      <c r="C918" s="2"/>
      <c r="D918" s="2"/>
      <c r="E918" s="2"/>
      <c r="F918" s="2"/>
      <c r="G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customFormat="false" ht="15.75" hidden="false" customHeight="true" outlineLevel="0" collapsed="false">
      <c r="A919" s="2"/>
      <c r="B919" s="2"/>
      <c r="C919" s="2"/>
      <c r="D919" s="2"/>
      <c r="E919" s="2"/>
      <c r="F919" s="2"/>
      <c r="G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customFormat="false" ht="15.75" hidden="false" customHeight="true" outlineLevel="0" collapsed="false">
      <c r="A920" s="2"/>
      <c r="B920" s="2"/>
      <c r="C920" s="2"/>
      <c r="D920" s="2"/>
      <c r="E920" s="2"/>
      <c r="F920" s="2"/>
      <c r="G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customFormat="false" ht="15.75" hidden="false" customHeight="true" outlineLevel="0" collapsed="false">
      <c r="A921" s="2"/>
      <c r="B921" s="2"/>
      <c r="C921" s="2"/>
      <c r="D921" s="2"/>
      <c r="E921" s="2"/>
      <c r="F921" s="2"/>
      <c r="G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customFormat="false" ht="15.75" hidden="false" customHeight="true" outlineLevel="0" collapsed="false">
      <c r="A922" s="2"/>
      <c r="B922" s="2"/>
      <c r="C922" s="2"/>
      <c r="D922" s="2"/>
      <c r="E922" s="2"/>
      <c r="F922" s="2"/>
      <c r="G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customFormat="false" ht="15.75" hidden="false" customHeight="true" outlineLevel="0" collapsed="false">
      <c r="A923" s="2"/>
      <c r="B923" s="2"/>
      <c r="C923" s="2"/>
      <c r="D923" s="2"/>
      <c r="E923" s="2"/>
      <c r="F923" s="2"/>
      <c r="G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customFormat="false" ht="15.75" hidden="false" customHeight="true" outlineLevel="0" collapsed="false">
      <c r="A924" s="2"/>
      <c r="B924" s="2"/>
      <c r="C924" s="2"/>
      <c r="D924" s="2"/>
      <c r="E924" s="2"/>
      <c r="F924" s="2"/>
      <c r="G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customFormat="false" ht="15.75" hidden="false" customHeight="true" outlineLevel="0" collapsed="false">
      <c r="A925" s="2"/>
      <c r="B925" s="2"/>
      <c r="C925" s="2"/>
      <c r="D925" s="2"/>
      <c r="E925" s="2"/>
      <c r="F925" s="2"/>
      <c r="G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customFormat="false" ht="15.75" hidden="false" customHeight="true" outlineLevel="0" collapsed="false">
      <c r="A926" s="2"/>
      <c r="B926" s="2"/>
      <c r="C926" s="2"/>
      <c r="D926" s="2"/>
      <c r="E926" s="2"/>
      <c r="F926" s="2"/>
      <c r="G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customFormat="false" ht="15.75" hidden="false" customHeight="true" outlineLevel="0" collapsed="false">
      <c r="A927" s="2"/>
      <c r="B927" s="2"/>
      <c r="C927" s="2"/>
      <c r="D927" s="2"/>
      <c r="E927" s="2"/>
      <c r="F927" s="2"/>
      <c r="G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customFormat="false" ht="15.75" hidden="false" customHeight="true" outlineLevel="0" collapsed="false">
      <c r="A928" s="2"/>
      <c r="B928" s="2"/>
      <c r="C928" s="2"/>
      <c r="D928" s="2"/>
      <c r="E928" s="2"/>
      <c r="F928" s="2"/>
      <c r="G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customFormat="false" ht="15.75" hidden="false" customHeight="true" outlineLevel="0" collapsed="false">
      <c r="A929" s="2"/>
      <c r="B929" s="2"/>
      <c r="C929" s="2"/>
      <c r="D929" s="2"/>
      <c r="E929" s="2"/>
      <c r="F929" s="2"/>
      <c r="G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customFormat="false" ht="15.75" hidden="false" customHeight="true" outlineLevel="0" collapsed="false">
      <c r="A930" s="2"/>
      <c r="B930" s="2"/>
      <c r="C930" s="2"/>
      <c r="D930" s="2"/>
      <c r="E930" s="2"/>
      <c r="F930" s="2"/>
      <c r="G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customFormat="false" ht="15.75" hidden="false" customHeight="true" outlineLevel="0" collapsed="false">
      <c r="A931" s="2"/>
      <c r="B931" s="2"/>
      <c r="C931" s="2"/>
      <c r="D931" s="2"/>
      <c r="E931" s="2"/>
      <c r="F931" s="2"/>
      <c r="G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customFormat="false" ht="15.75" hidden="false" customHeight="true" outlineLevel="0" collapsed="false">
      <c r="A932" s="2"/>
      <c r="B932" s="2"/>
      <c r="C932" s="2"/>
      <c r="D932" s="2"/>
      <c r="E932" s="2"/>
      <c r="F932" s="2"/>
      <c r="G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customFormat="false" ht="15.75" hidden="false" customHeight="true" outlineLevel="0" collapsed="false">
      <c r="A933" s="2"/>
      <c r="B933" s="2"/>
      <c r="C933" s="2"/>
      <c r="D933" s="2"/>
      <c r="E933" s="2"/>
      <c r="F933" s="2"/>
      <c r="G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customFormat="false" ht="15.75" hidden="false" customHeight="true" outlineLevel="0" collapsed="false">
      <c r="A934" s="2"/>
      <c r="B934" s="2"/>
      <c r="C934" s="2"/>
      <c r="D934" s="2"/>
      <c r="E934" s="2"/>
      <c r="F934" s="2"/>
      <c r="G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customFormat="false" ht="15.75" hidden="false" customHeight="true" outlineLevel="0" collapsed="false">
      <c r="A935" s="2"/>
      <c r="B935" s="2"/>
      <c r="C935" s="2"/>
      <c r="D935" s="2"/>
      <c r="E935" s="2"/>
      <c r="F935" s="2"/>
      <c r="G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customFormat="false" ht="15.75" hidden="false" customHeight="true" outlineLevel="0" collapsed="false">
      <c r="A936" s="2"/>
      <c r="B936" s="2"/>
      <c r="C936" s="2"/>
      <c r="D936" s="2"/>
      <c r="E936" s="2"/>
      <c r="F936" s="2"/>
      <c r="G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customFormat="false" ht="15.75" hidden="false" customHeight="true" outlineLevel="0" collapsed="false">
      <c r="A937" s="2"/>
      <c r="B937" s="2"/>
      <c r="C937" s="2"/>
      <c r="D937" s="2"/>
      <c r="E937" s="2"/>
      <c r="F937" s="2"/>
      <c r="G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customFormat="false" ht="15.75" hidden="false" customHeight="true" outlineLevel="0" collapsed="false">
      <c r="A938" s="2"/>
      <c r="B938" s="2"/>
      <c r="C938" s="2"/>
      <c r="D938" s="2"/>
      <c r="E938" s="2"/>
      <c r="F938" s="2"/>
      <c r="G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customFormat="false" ht="15.75" hidden="false" customHeight="true" outlineLevel="0" collapsed="false">
      <c r="A939" s="2"/>
      <c r="B939" s="2"/>
      <c r="C939" s="2"/>
      <c r="D939" s="2"/>
      <c r="E939" s="2"/>
      <c r="F939" s="2"/>
      <c r="G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customFormat="false" ht="15.75" hidden="false" customHeight="true" outlineLevel="0" collapsed="false">
      <c r="A940" s="2"/>
      <c r="B940" s="2"/>
      <c r="C940" s="2"/>
      <c r="D940" s="2"/>
      <c r="E940" s="2"/>
      <c r="F940" s="2"/>
      <c r="G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customFormat="false" ht="15.75" hidden="false" customHeight="true" outlineLevel="0" collapsed="false">
      <c r="A941" s="2"/>
      <c r="B941" s="2"/>
      <c r="C941" s="2"/>
      <c r="D941" s="2"/>
      <c r="E941" s="2"/>
      <c r="F941" s="2"/>
      <c r="G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customFormat="false" ht="15.75" hidden="false" customHeight="true" outlineLevel="0" collapsed="false">
      <c r="A942" s="2"/>
      <c r="B942" s="2"/>
      <c r="C942" s="2"/>
      <c r="D942" s="2"/>
      <c r="E942" s="2"/>
      <c r="F942" s="2"/>
      <c r="G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customFormat="false" ht="15.75" hidden="false" customHeight="true" outlineLevel="0" collapsed="false">
      <c r="A943" s="2"/>
      <c r="B943" s="2"/>
      <c r="C943" s="2"/>
      <c r="D943" s="2"/>
      <c r="E943" s="2"/>
      <c r="F943" s="2"/>
      <c r="G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customFormat="false" ht="15.75" hidden="false" customHeight="true" outlineLevel="0" collapsed="false">
      <c r="A944" s="2"/>
      <c r="B944" s="2"/>
      <c r="C944" s="2"/>
      <c r="D944" s="2"/>
      <c r="E944" s="2"/>
      <c r="F944" s="2"/>
      <c r="G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customFormat="false" ht="15.75" hidden="false" customHeight="true" outlineLevel="0" collapsed="false">
      <c r="A945" s="2"/>
      <c r="B945" s="2"/>
      <c r="C945" s="2"/>
      <c r="D945" s="2"/>
      <c r="E945" s="2"/>
      <c r="F945" s="2"/>
      <c r="G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customFormat="false" ht="15.75" hidden="false" customHeight="true" outlineLevel="0" collapsed="false">
      <c r="A946" s="2"/>
      <c r="B946" s="2"/>
      <c r="C946" s="2"/>
      <c r="D946" s="2"/>
      <c r="E946" s="2"/>
      <c r="F946" s="2"/>
      <c r="G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customFormat="false" ht="15.75" hidden="false" customHeight="true" outlineLevel="0" collapsed="false">
      <c r="A947" s="2"/>
      <c r="B947" s="2"/>
      <c r="C947" s="2"/>
      <c r="D947" s="2"/>
      <c r="E947" s="2"/>
      <c r="F947" s="2"/>
      <c r="G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customFormat="false" ht="15.75" hidden="false" customHeight="true" outlineLevel="0" collapsed="false">
      <c r="A948" s="2"/>
      <c r="B948" s="2"/>
      <c r="C948" s="2"/>
      <c r="D948" s="2"/>
      <c r="E948" s="2"/>
      <c r="F948" s="2"/>
      <c r="G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customFormat="false" ht="15.75" hidden="false" customHeight="true" outlineLevel="0" collapsed="false">
      <c r="A949" s="2"/>
      <c r="B949" s="2"/>
      <c r="C949" s="2"/>
      <c r="D949" s="2"/>
      <c r="E949" s="2"/>
      <c r="F949" s="2"/>
      <c r="G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customFormat="false" ht="15.75" hidden="false" customHeight="true" outlineLevel="0" collapsed="false">
      <c r="A950" s="2"/>
      <c r="B950" s="2"/>
      <c r="C950" s="2"/>
      <c r="D950" s="2"/>
      <c r="E950" s="2"/>
      <c r="F950" s="2"/>
      <c r="G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customFormat="false" ht="15.75" hidden="false" customHeight="true" outlineLevel="0" collapsed="false">
      <c r="A951" s="2"/>
      <c r="B951" s="2"/>
      <c r="C951" s="2"/>
      <c r="D951" s="2"/>
      <c r="E951" s="2"/>
      <c r="F951" s="2"/>
      <c r="G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customFormat="false" ht="15.75" hidden="false" customHeight="true" outlineLevel="0" collapsed="false">
      <c r="A952" s="2"/>
      <c r="B952" s="2"/>
      <c r="C952" s="2"/>
      <c r="D952" s="2"/>
      <c r="E952" s="2"/>
      <c r="F952" s="2"/>
      <c r="G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customFormat="false" ht="15.75" hidden="false" customHeight="true" outlineLevel="0" collapsed="false">
      <c r="A953" s="2"/>
      <c r="B953" s="2"/>
      <c r="C953" s="2"/>
      <c r="D953" s="2"/>
      <c r="E953" s="2"/>
      <c r="F953" s="2"/>
      <c r="G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customFormat="false" ht="15.75" hidden="false" customHeight="true" outlineLevel="0" collapsed="false">
      <c r="A954" s="2"/>
      <c r="B954" s="2"/>
      <c r="C954" s="2"/>
      <c r="D954" s="2"/>
      <c r="E954" s="2"/>
      <c r="F954" s="2"/>
      <c r="G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customFormat="false" ht="15.75" hidden="false" customHeight="true" outlineLevel="0" collapsed="false">
      <c r="A955" s="2"/>
      <c r="B955" s="2"/>
      <c r="C955" s="2"/>
      <c r="D955" s="2"/>
      <c r="E955" s="2"/>
      <c r="F955" s="2"/>
      <c r="G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customFormat="false" ht="15.75" hidden="false" customHeight="true" outlineLevel="0" collapsed="false">
      <c r="A956" s="2"/>
      <c r="B956" s="2"/>
      <c r="C956" s="2"/>
      <c r="D956" s="2"/>
      <c r="E956" s="2"/>
      <c r="F956" s="2"/>
      <c r="G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customFormat="false" ht="15.75" hidden="false" customHeight="true" outlineLevel="0" collapsed="false">
      <c r="A957" s="2"/>
      <c r="B957" s="2"/>
      <c r="C957" s="2"/>
      <c r="D957" s="2"/>
      <c r="E957" s="2"/>
      <c r="F957" s="2"/>
      <c r="G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customFormat="false" ht="15.75" hidden="false" customHeight="true" outlineLevel="0" collapsed="false">
      <c r="A958" s="2"/>
      <c r="B958" s="2"/>
      <c r="C958" s="2"/>
      <c r="D958" s="2"/>
      <c r="E958" s="2"/>
      <c r="F958" s="2"/>
      <c r="G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customFormat="false" ht="15.75" hidden="false" customHeight="true" outlineLevel="0" collapsed="false">
      <c r="A959" s="2"/>
      <c r="B959" s="2"/>
      <c r="C959" s="2"/>
      <c r="D959" s="2"/>
      <c r="E959" s="2"/>
      <c r="F959" s="2"/>
      <c r="G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customFormat="false" ht="15.75" hidden="false" customHeight="true" outlineLevel="0" collapsed="false">
      <c r="A960" s="2"/>
      <c r="B960" s="2"/>
      <c r="C960" s="2"/>
      <c r="D960" s="2"/>
      <c r="E960" s="2"/>
      <c r="F960" s="2"/>
      <c r="G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customFormat="false" ht="15.75" hidden="false" customHeight="true" outlineLevel="0" collapsed="false">
      <c r="A961" s="2"/>
      <c r="B961" s="2"/>
      <c r="C961" s="2"/>
      <c r="D961" s="2"/>
      <c r="E961" s="2"/>
      <c r="F961" s="2"/>
      <c r="G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customFormat="false" ht="15.75" hidden="false" customHeight="true" outlineLevel="0" collapsed="false">
      <c r="A962" s="2"/>
      <c r="B962" s="2"/>
      <c r="C962" s="2"/>
      <c r="D962" s="2"/>
      <c r="E962" s="2"/>
      <c r="F962" s="2"/>
      <c r="G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customFormat="false" ht="15.75" hidden="false" customHeight="true" outlineLevel="0" collapsed="false">
      <c r="A963" s="2"/>
      <c r="B963" s="2"/>
      <c r="C963" s="2"/>
      <c r="D963" s="2"/>
      <c r="E963" s="2"/>
      <c r="F963" s="2"/>
      <c r="G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customFormat="false" ht="15.75" hidden="false" customHeight="true" outlineLevel="0" collapsed="false">
      <c r="A964" s="2"/>
      <c r="B964" s="2"/>
      <c r="C964" s="2"/>
      <c r="D964" s="2"/>
      <c r="E964" s="2"/>
      <c r="F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customFormat="false" ht="15.75" hidden="false" customHeight="true" outlineLevel="0" collapsed="false">
      <c r="A965" s="2"/>
      <c r="B965" s="2"/>
      <c r="C965" s="2"/>
      <c r="D965" s="2"/>
      <c r="E965" s="2"/>
      <c r="F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customFormat="false" ht="15.75" hidden="false" customHeight="true" outlineLevel="0" collapsed="false">
      <c r="A966" s="2"/>
      <c r="B966" s="2"/>
      <c r="C966" s="2"/>
      <c r="D966" s="2"/>
      <c r="E966" s="2"/>
      <c r="F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customFormat="false" ht="15.75" hidden="false" customHeight="true" outlineLevel="0" collapsed="false">
      <c r="A967" s="2"/>
      <c r="B967" s="2"/>
      <c r="C967" s="2"/>
      <c r="D967" s="2"/>
      <c r="E967" s="2"/>
      <c r="F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customFormat="false" ht="15.75" hidden="false" customHeight="true" outlineLevel="0" collapsed="false">
      <c r="A968" s="2"/>
      <c r="B968" s="2"/>
      <c r="C968" s="2"/>
      <c r="D968" s="2"/>
      <c r="E968" s="2"/>
      <c r="F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customFormat="false" ht="15.75" hidden="false" customHeight="true" outlineLevel="0" collapsed="false">
      <c r="A969" s="2"/>
      <c r="B969" s="2"/>
      <c r="C969" s="2"/>
      <c r="D969" s="2"/>
      <c r="E969" s="2"/>
      <c r="F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customFormat="false" ht="15.75" hidden="false" customHeight="true" outlineLevel="0" collapsed="false">
      <c r="A970" s="2"/>
      <c r="B970" s="2"/>
      <c r="C970" s="2"/>
      <c r="D970" s="2"/>
      <c r="E970" s="2"/>
      <c r="F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customFormat="false" ht="15.75" hidden="false" customHeight="true" outlineLevel="0" collapsed="false">
      <c r="A971" s="2"/>
      <c r="B971" s="2"/>
      <c r="C971" s="2"/>
      <c r="D971" s="2"/>
      <c r="E971" s="2"/>
      <c r="F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customFormat="false" ht="15.75" hidden="false" customHeight="true" outlineLevel="0" collapsed="false">
      <c r="A972" s="2"/>
      <c r="B972" s="2"/>
      <c r="C972" s="2"/>
      <c r="D972" s="2"/>
      <c r="E972" s="2"/>
      <c r="F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customFormat="false" ht="15.75" hidden="false" customHeight="true" outlineLevel="0" collapsed="false">
      <c r="A973" s="2"/>
      <c r="B973" s="2"/>
      <c r="C973" s="2"/>
      <c r="D973" s="2"/>
      <c r="E973" s="2"/>
      <c r="F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customFormat="false" ht="15.75" hidden="false" customHeight="true" outlineLevel="0" collapsed="false">
      <c r="A974" s="2"/>
      <c r="B974" s="2"/>
      <c r="C974" s="2"/>
      <c r="D974" s="2"/>
      <c r="E974" s="2"/>
      <c r="F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customFormat="false" ht="15.75" hidden="false" customHeight="true" outlineLevel="0" collapsed="false">
      <c r="A975" s="2"/>
      <c r="B975" s="2"/>
      <c r="C975" s="2"/>
      <c r="D975" s="2"/>
      <c r="E975" s="2"/>
      <c r="F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customFormat="false" ht="15.75" hidden="false" customHeight="true" outlineLevel="0" collapsed="false">
      <c r="A976" s="2"/>
      <c r="B976" s="2"/>
      <c r="C976" s="2"/>
      <c r="D976" s="2"/>
      <c r="E976" s="2"/>
      <c r="F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customFormat="false" ht="15.75" hidden="false" customHeight="true" outlineLevel="0" collapsed="false">
      <c r="A977" s="2"/>
      <c r="B977" s="2"/>
      <c r="C977" s="2"/>
      <c r="D977" s="2"/>
      <c r="E977" s="2"/>
      <c r="F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customFormat="false" ht="15.75" hidden="false" customHeight="true" outlineLevel="0" collapsed="false">
      <c r="A978" s="2"/>
      <c r="B978" s="2"/>
      <c r="C978" s="2"/>
      <c r="D978" s="2"/>
      <c r="E978" s="2"/>
      <c r="F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customFormat="false" ht="15.75" hidden="false" customHeight="true" outlineLevel="0" collapsed="false">
      <c r="A979" s="2"/>
      <c r="B979" s="2"/>
      <c r="C979" s="2"/>
      <c r="D979" s="2"/>
      <c r="E979" s="2"/>
      <c r="F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customFormat="false" ht="15.75" hidden="false" customHeight="true" outlineLevel="0" collapsed="false">
      <c r="A980" s="2"/>
      <c r="B980" s="2"/>
      <c r="C980" s="2"/>
      <c r="D980" s="2"/>
      <c r="E980" s="2"/>
      <c r="F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customFormat="false" ht="15.75" hidden="false" customHeight="true" outlineLevel="0" collapsed="false">
      <c r="A981" s="2"/>
      <c r="B981" s="2"/>
      <c r="C981" s="2"/>
      <c r="D981" s="2"/>
      <c r="E981" s="2"/>
      <c r="F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customFormat="false" ht="15.75" hidden="false" customHeight="true" outlineLevel="0" collapsed="false">
      <c r="A982" s="2"/>
      <c r="B982" s="2"/>
      <c r="C982" s="2"/>
      <c r="D982" s="2"/>
      <c r="E982" s="2"/>
      <c r="F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customFormat="false" ht="15.75" hidden="false" customHeight="true" outlineLevel="0" collapsed="false">
      <c r="A983" s="2"/>
      <c r="B983" s="2"/>
      <c r="C983" s="2"/>
      <c r="D983" s="2"/>
      <c r="E983" s="2"/>
      <c r="F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customFormat="false" ht="15.75" hidden="false" customHeight="true" outlineLevel="0" collapsed="false">
      <c r="A984" s="2"/>
      <c r="B984" s="2"/>
      <c r="C984" s="2"/>
      <c r="D984" s="2"/>
      <c r="E984" s="2"/>
      <c r="F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customFormat="false" ht="15.75" hidden="false" customHeight="true" outlineLevel="0" collapsed="false">
      <c r="A985" s="2"/>
      <c r="B985" s="2"/>
      <c r="C985" s="2"/>
      <c r="D985" s="2"/>
      <c r="E985" s="2"/>
      <c r="F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customFormat="false" ht="15.75" hidden="false" customHeight="true" outlineLevel="0" collapsed="false">
      <c r="A986" s="2"/>
      <c r="B986" s="2"/>
      <c r="C986" s="2"/>
      <c r="D986" s="2"/>
      <c r="E986" s="2"/>
      <c r="F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customFormat="false" ht="15.75" hidden="false" customHeight="true" outlineLevel="0" collapsed="false">
      <c r="A987" s="2"/>
      <c r="B987" s="2"/>
      <c r="C987" s="2"/>
      <c r="D987" s="2"/>
      <c r="E987" s="2"/>
      <c r="F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customFormat="false" ht="15.75" hidden="false" customHeight="true" outlineLevel="0" collapsed="false">
      <c r="A988" s="2"/>
      <c r="B988" s="2"/>
      <c r="C988" s="2"/>
      <c r="D988" s="2"/>
      <c r="E988" s="2"/>
      <c r="F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customFormat="false" ht="15.75" hidden="false" customHeight="true" outlineLevel="0" collapsed="false">
      <c r="A989" s="2"/>
      <c r="B989" s="2"/>
      <c r="C989" s="2"/>
      <c r="D989" s="2"/>
      <c r="E989" s="2"/>
      <c r="F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customFormat="false" ht="15.75" hidden="false" customHeight="true" outlineLevel="0" collapsed="false">
      <c r="A990" s="2"/>
      <c r="B990" s="2"/>
      <c r="C990" s="2"/>
      <c r="D990" s="2"/>
      <c r="E990" s="2"/>
      <c r="F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customFormat="false" ht="15.75" hidden="false" customHeight="true" outlineLevel="0" collapsed="false">
      <c r="A991" s="2"/>
      <c r="B991" s="2"/>
      <c r="C991" s="2"/>
      <c r="D991" s="2"/>
      <c r="E991" s="2"/>
      <c r="F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customFormat="false" ht="15.75" hidden="false" customHeight="true" outlineLevel="0" collapsed="false">
      <c r="A992" s="2"/>
      <c r="B992" s="2"/>
      <c r="C992" s="2"/>
      <c r="D992" s="2"/>
      <c r="E992" s="2"/>
      <c r="F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customFormat="false" ht="15.75" hidden="false" customHeight="true" outlineLevel="0" collapsed="false">
      <c r="A993" s="2"/>
      <c r="B993" s="2"/>
      <c r="C993" s="2"/>
      <c r="D993" s="2"/>
      <c r="E993" s="2"/>
      <c r="F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customFormat="false" ht="15.75" hidden="false" customHeight="true" outlineLevel="0" collapsed="false">
      <c r="A994" s="2"/>
      <c r="B994" s="2"/>
      <c r="C994" s="2"/>
      <c r="D994" s="2"/>
      <c r="E994" s="2"/>
      <c r="F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customFormat="false" ht="15.75" hidden="false" customHeight="true" outlineLevel="0" collapsed="false">
      <c r="A995" s="2"/>
      <c r="B995" s="2"/>
      <c r="C995" s="2"/>
      <c r="D995" s="2"/>
      <c r="E995" s="2"/>
      <c r="F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customFormat="false" ht="15.75" hidden="false" customHeight="true" outlineLevel="0" collapsed="false">
      <c r="A996" s="2"/>
      <c r="B996" s="2"/>
      <c r="C996" s="2"/>
      <c r="D996" s="2"/>
      <c r="E996" s="2"/>
      <c r="F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customFormat="false" ht="15.75" hidden="false" customHeight="true" outlineLevel="0" collapsed="false">
      <c r="A997" s="2"/>
      <c r="B997" s="2"/>
      <c r="C997" s="2"/>
      <c r="D997" s="2"/>
      <c r="E997" s="2"/>
      <c r="F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customFormat="false" ht="15.75" hidden="false" customHeight="true" outlineLevel="0" collapsed="false">
      <c r="A998" s="2"/>
      <c r="B998" s="2"/>
      <c r="C998" s="2"/>
      <c r="D998" s="2"/>
      <c r="E998" s="2"/>
      <c r="F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customFormat="false" ht="15.75" hidden="false" customHeight="true" outlineLevel="0" collapsed="false">
      <c r="A999" s="2"/>
      <c r="B999" s="2"/>
      <c r="C999" s="2"/>
      <c r="D999" s="2"/>
      <c r="E999" s="2"/>
      <c r="F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customFormat="false" ht="15.75" hidden="false" customHeight="true" outlineLevel="0" collapsed="false">
      <c r="A1000" s="2"/>
      <c r="B1000" s="2"/>
      <c r="C1000" s="2"/>
      <c r="D1000" s="2"/>
      <c r="E1000" s="2"/>
      <c r="F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row r="1001" customFormat="false" ht="15.75" hidden="false" customHeight="true" outlineLevel="0" collapsed="false">
      <c r="A1001" s="2"/>
      <c r="B1001" s="2"/>
      <c r="C1001" s="2"/>
      <c r="D1001" s="2"/>
      <c r="E1001" s="2"/>
      <c r="F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row>
    <row r="1002" customFormat="false" ht="15.75" hidden="false" customHeight="true" outlineLevel="0" collapsed="false">
      <c r="A1002" s="2"/>
      <c r="B1002" s="2"/>
      <c r="C1002" s="2"/>
      <c r="D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row>
    <row r="1003" customFormat="false" ht="15.75" hidden="false" customHeight="true" outlineLevel="0" collapsed="false">
      <c r="A1003" s="2"/>
      <c r="B1003" s="2"/>
      <c r="C1003" s="2"/>
      <c r="D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row>
    <row r="1004" customFormat="false" ht="15.75" hidden="false" customHeight="true" outlineLevel="0" collapsed="false">
      <c r="A1004" s="2"/>
      <c r="B1004" s="2"/>
      <c r="C1004" s="2"/>
      <c r="D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row>
    <row r="1005" customFormat="false" ht="15.75" hidden="false" customHeight="true" outlineLevel="0" collapsed="false">
      <c r="A1005" s="2"/>
      <c r="B1005" s="2"/>
      <c r="C1005" s="2"/>
      <c r="D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row>
    <row r="1006" customFormat="false" ht="15.75" hidden="false" customHeight="true" outlineLevel="0" collapsed="false">
      <c r="A1006" s="2"/>
      <c r="B1006" s="2"/>
      <c r="C1006" s="2"/>
      <c r="D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row>
    <row r="1007" customFormat="false" ht="15.75" hidden="false" customHeight="true" outlineLevel="0" collapsed="false">
      <c r="A1007" s="2"/>
      <c r="B1007" s="2"/>
      <c r="C1007" s="2"/>
      <c r="D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row>
    <row r="1008" customFormat="false" ht="15.75" hidden="false" customHeight="true" outlineLevel="0" collapsed="false">
      <c r="A1008" s="2"/>
      <c r="B1008" s="2"/>
      <c r="C1008" s="2"/>
      <c r="D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row>
    <row r="1009" customFormat="false" ht="15.75" hidden="false" customHeight="true" outlineLevel="0" collapsed="false">
      <c r="A1009" s="2"/>
      <c r="B1009" s="2"/>
      <c r="C1009" s="2"/>
      <c r="D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row>
    <row r="1010" customFormat="false" ht="15.75" hidden="false" customHeight="true" outlineLevel="0" collapsed="false">
      <c r="A1010" s="2"/>
      <c r="B1010" s="2"/>
      <c r="C1010" s="2"/>
      <c r="D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row>
    <row r="1011" customFormat="false" ht="15.75" hidden="false" customHeight="true" outlineLevel="0" collapsed="false">
      <c r="A1011" s="2"/>
      <c r="B1011" s="2"/>
      <c r="C1011" s="2"/>
      <c r="D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row>
    <row r="1012" customFormat="false" ht="15.75" hidden="false" customHeight="true" outlineLevel="0" collapsed="false">
      <c r="A1012" s="2"/>
      <c r="B1012" s="2"/>
      <c r="C1012" s="2"/>
      <c r="D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row>
    <row r="1013" customFormat="false" ht="15.75" hidden="false" customHeight="true" outlineLevel="0" collapsed="false">
      <c r="A1013" s="2"/>
      <c r="B1013" s="2"/>
      <c r="C1013" s="2"/>
      <c r="D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row>
    <row r="1014" customFormat="false" ht="15.75" hidden="false" customHeight="true" outlineLevel="0" collapsed="false">
      <c r="A1014" s="2"/>
      <c r="B1014" s="2"/>
      <c r="C1014" s="2"/>
      <c r="D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row>
    <row r="1015" customFormat="false" ht="15.75" hidden="false" customHeight="true" outlineLevel="0" collapsed="false">
      <c r="A1015" s="2"/>
      <c r="B1015" s="2"/>
      <c r="C1015" s="2"/>
      <c r="D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row>
    <row r="1016" customFormat="false" ht="15.75" hidden="false" customHeight="true" outlineLevel="0" collapsed="false">
      <c r="A1016" s="2"/>
      <c r="B1016" s="2"/>
      <c r="C1016" s="2"/>
      <c r="D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row>
    <row r="1017" customFormat="false" ht="15.75" hidden="false" customHeight="true" outlineLevel="0" collapsed="false">
      <c r="A1017" s="2"/>
      <c r="B1017" s="2"/>
      <c r="C1017" s="2"/>
      <c r="D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row>
    <row r="1018" customFormat="false" ht="15.75" hidden="false" customHeight="true" outlineLevel="0" collapsed="false">
      <c r="A1018" s="2"/>
      <c r="B1018" s="2"/>
      <c r="C1018" s="2"/>
      <c r="D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row>
    <row r="1019" customFormat="false" ht="15.75" hidden="false" customHeight="true" outlineLevel="0" collapsed="false">
      <c r="A1019" s="2"/>
      <c r="B1019" s="2"/>
      <c r="C1019" s="2"/>
      <c r="D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row>
    <row r="1020" customFormat="false" ht="15.75" hidden="false" customHeight="true" outlineLevel="0" collapsed="false">
      <c r="A1020" s="2"/>
      <c r="B1020" s="2"/>
      <c r="C1020" s="2"/>
      <c r="D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row>
    <row r="1021" customFormat="false" ht="15.75" hidden="false" customHeight="true" outlineLevel="0" collapsed="false">
      <c r="A1021" s="2"/>
      <c r="B1021" s="2"/>
      <c r="C1021" s="2"/>
      <c r="D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row>
    <row r="1022" customFormat="false" ht="15.75" hidden="false" customHeight="true" outlineLevel="0" collapsed="false">
      <c r="A1022" s="2"/>
      <c r="B1022" s="2"/>
      <c r="C1022" s="2"/>
      <c r="D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row>
    <row r="1023" customFormat="false" ht="15.75" hidden="false" customHeight="true" outlineLevel="0" collapsed="false">
      <c r="A1023" s="2"/>
      <c r="B1023" s="2"/>
      <c r="C1023" s="2"/>
      <c r="D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row>
    <row r="1024" customFormat="false" ht="15.75" hidden="false" customHeight="true" outlineLevel="0" collapsed="false">
      <c r="A1024" s="2"/>
      <c r="B1024" s="2"/>
      <c r="C1024" s="2"/>
      <c r="D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Roman,Regular"&amp;12ffffff&amp;A</oddHeader>
    <oddFooter>&amp;C&amp;"Times New Roman,Regular"&amp;12ffffffPage &amp;P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X199"/>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B45" activeCellId="0" sqref="B45"/>
    </sheetView>
  </sheetViews>
  <sheetFormatPr defaultColWidth="11.515625" defaultRowHeight="12.8" customHeight="true" zeroHeight="false" outlineLevelRow="0" outlineLevelCol="0"/>
  <cols>
    <col collapsed="false" customWidth="true" hidden="false" outlineLevel="0" max="1" min="1" style="1" width="30.58"/>
    <col collapsed="false" customWidth="true" hidden="false" outlineLevel="0" max="2" min="2" style="1" width="17.42"/>
    <col collapsed="false" customWidth="true" hidden="false" outlineLevel="0" max="6" min="6" style="1" width="15.93"/>
    <col collapsed="false" customWidth="true" hidden="false" outlineLevel="0" max="7" min="7" style="1" width="16.1"/>
    <col collapsed="false" customWidth="true" hidden="false" outlineLevel="0" max="8" min="8" style="1" width="13.73"/>
    <col collapsed="false" customWidth="true" hidden="false" outlineLevel="0" max="10" min="9" style="1" width="17.93"/>
    <col collapsed="false" customWidth="true" hidden="false" outlineLevel="0" max="11" min="11" style="1" width="11.96"/>
    <col collapsed="false" customWidth="true" hidden="false" outlineLevel="0" max="13" min="13" style="1" width="23.65"/>
  </cols>
  <sheetData>
    <row r="1" customFormat="false" ht="85.8" hidden="false" customHeight="true" outlineLevel="0" collapsed="false">
      <c r="A1" s="6" t="s">
        <v>130</v>
      </c>
      <c r="B1" s="4" t="s">
        <v>131</v>
      </c>
      <c r="C1" s="4" t="s">
        <v>132</v>
      </c>
      <c r="D1" s="4" t="s">
        <v>133</v>
      </c>
      <c r="E1" s="4" t="s">
        <v>134</v>
      </c>
      <c r="F1" s="4" t="s">
        <v>135</v>
      </c>
      <c r="G1" s="4" t="s">
        <v>136</v>
      </c>
      <c r="H1" s="4" t="s">
        <v>137</v>
      </c>
      <c r="I1" s="4" t="s">
        <v>138</v>
      </c>
      <c r="J1" s="4" t="s">
        <v>139</v>
      </c>
      <c r="K1" s="4" t="s">
        <v>140</v>
      </c>
      <c r="L1" s="4" t="s">
        <v>141</v>
      </c>
      <c r="M1" s="4" t="s">
        <v>142</v>
      </c>
      <c r="N1" s="1"/>
    </row>
    <row r="2" customFormat="false" ht="12.8" hidden="false" customHeight="true" outlineLevel="0" collapsed="false">
      <c r="A2" s="1" t="s">
        <v>42</v>
      </c>
      <c r="B2" s="72" t="n">
        <f aca="false">H152</f>
        <v>0.02058</v>
      </c>
      <c r="C2" s="72" t="n">
        <v>0.6019</v>
      </c>
      <c r="D2" s="1"/>
      <c r="E2" s="1"/>
      <c r="I2" s="33"/>
      <c r="J2" s="73" t="n">
        <f aca="false">(1/(B2*C2*2.20462))</f>
        <v>36.6181621363608</v>
      </c>
      <c r="L2" s="72"/>
      <c r="M2" s="74" t="n">
        <f aca="false">1.08*J2</f>
        <v>39.5476151072697</v>
      </c>
      <c r="N2" s="1"/>
    </row>
    <row r="3" customFormat="false" ht="12.8" hidden="false" customHeight="true" outlineLevel="0" collapsed="false">
      <c r="A3" s="1" t="s">
        <v>43</v>
      </c>
      <c r="B3" s="72" t="n">
        <f aca="false">H153</f>
        <v>5.29613266666667</v>
      </c>
      <c r="C3" s="72" t="n">
        <v>0.4726</v>
      </c>
      <c r="D3" s="72" t="n">
        <f aca="false">((0.75*0.26)+(0.25*0.75))</f>
        <v>0.3825</v>
      </c>
      <c r="E3" s="72" t="n">
        <f aca="false">(B3*D3*$E$108)*I3</f>
        <v>9.00069153012479</v>
      </c>
      <c r="F3" s="72" t="n">
        <f aca="false">E3*1.123</f>
        <v>10.1077765883301</v>
      </c>
      <c r="G3" s="72" t="n">
        <f aca="false">F3/(B3*C3)</f>
        <v>4.03834167967561</v>
      </c>
      <c r="H3" s="72" t="n">
        <f aca="false">G3*0.453692</f>
        <v>1.83216331333539</v>
      </c>
      <c r="I3" s="33" t="n">
        <v>0.167</v>
      </c>
      <c r="J3" s="73" t="n">
        <f aca="false">(1/(B3*C3*2.20462))</f>
        <v>0.181223153853056</v>
      </c>
      <c r="K3" s="75" t="n">
        <f aca="false">$G$71</f>
        <v>0.441</v>
      </c>
      <c r="L3" s="75" t="n">
        <f aca="false">J3*(K3/(1-K3))*I3</f>
        <v>0.0238757452805295</v>
      </c>
      <c r="M3" s="74" t="n">
        <f aca="false">(H3+J3+L3)+(0.08*(1-I3)*J3)</f>
        <v>2.04933892344174</v>
      </c>
      <c r="N3" s="1"/>
    </row>
    <row r="4" customFormat="false" ht="12.8" hidden="false" customHeight="true" outlineLevel="0" collapsed="false">
      <c r="A4" s="22" t="s">
        <v>143</v>
      </c>
      <c r="B4" s="72" t="n">
        <f aca="false">H154</f>
        <v>6.238</v>
      </c>
      <c r="C4" s="72" t="n">
        <v>0.4726</v>
      </c>
      <c r="D4" s="72"/>
      <c r="E4" s="72"/>
      <c r="F4" s="72"/>
      <c r="G4" s="72"/>
      <c r="H4" s="72"/>
      <c r="I4" s="33"/>
      <c r="J4" s="73" t="n">
        <f aca="false">(1/(B4*C4*2.20462))</f>
        <v>0.153860510592743</v>
      </c>
      <c r="K4" s="75"/>
      <c r="L4" s="75"/>
      <c r="M4" s="74" t="n">
        <f aca="false">(H4+J4+L4)+(0.08*(1-I4)*J4)</f>
        <v>0.166169351440162</v>
      </c>
      <c r="N4" s="1"/>
    </row>
    <row r="5" customFormat="false" ht="12.8" hidden="false" customHeight="true" outlineLevel="0" collapsed="false">
      <c r="A5" s="1" t="s">
        <v>45</v>
      </c>
      <c r="B5" s="72" t="n">
        <f aca="false">H155</f>
        <v>0.586796</v>
      </c>
      <c r="C5" s="72" t="n">
        <v>0.4726</v>
      </c>
      <c r="D5" s="72" t="n">
        <f aca="false">((0.75*0.26)+(0.25*0.75))</f>
        <v>0.3825</v>
      </c>
      <c r="E5" s="72" t="n">
        <f aca="false">(B5*D5*$E$108)*I5</f>
        <v>5.97155856554327</v>
      </c>
      <c r="F5" s="72" t="n">
        <f aca="false">E5*1.123</f>
        <v>6.70606026910509</v>
      </c>
      <c r="G5" s="72" t="n">
        <f aca="false">F5/(B5*C5)</f>
        <v>24.1816867046444</v>
      </c>
      <c r="H5" s="72" t="n">
        <f aca="false">G5*0.453692</f>
        <v>10.9710378044035</v>
      </c>
      <c r="I5" s="33" t="n">
        <v>1</v>
      </c>
      <c r="J5" s="73" t="n">
        <f aca="false">(1/(B5*C5*2.20462))</f>
        <v>1.63563123313303</v>
      </c>
      <c r="K5" s="75" t="n">
        <f aca="false">$G$71</f>
        <v>0.441</v>
      </c>
      <c r="L5" s="75" t="n">
        <f aca="false">J5*(K5/(1-K5))*I5</f>
        <v>1.29036381719439</v>
      </c>
      <c r="M5" s="74" t="n">
        <f aca="false">(H5+J5+L5)+(0.08*(1-I5)*J5)</f>
        <v>13.8970328547309</v>
      </c>
      <c r="N5" s="1"/>
    </row>
    <row r="6" customFormat="false" ht="12.8" hidden="false" customHeight="true" outlineLevel="0" collapsed="false">
      <c r="A6" s="76" t="s">
        <v>46</v>
      </c>
      <c r="B6" s="72" t="n">
        <f aca="false">H156</f>
        <v>12.601</v>
      </c>
      <c r="C6" s="72" t="n">
        <v>0.54</v>
      </c>
      <c r="D6" s="72"/>
      <c r="E6" s="72"/>
      <c r="F6" s="72"/>
      <c r="G6" s="72"/>
      <c r="H6" s="72"/>
      <c r="I6" s="33"/>
      <c r="J6" s="73" t="n">
        <f aca="false">(1/(B6*C6*2.20462))</f>
        <v>0.0666603340469216</v>
      </c>
      <c r="K6" s="72"/>
      <c r="L6" s="75"/>
      <c r="M6" s="74" t="n">
        <f aca="false">H6+J6+L6</f>
        <v>0.0666603340469216</v>
      </c>
      <c r="N6" s="1"/>
    </row>
    <row r="7" customFormat="false" ht="12.8" hidden="false" customHeight="true" outlineLevel="0" collapsed="false">
      <c r="A7" s="76" t="s">
        <v>144</v>
      </c>
      <c r="B7" s="72" t="n">
        <f aca="false">H158</f>
        <v>2.64219794666666</v>
      </c>
      <c r="C7" s="72" t="n">
        <v>0.54</v>
      </c>
      <c r="D7" s="72"/>
      <c r="E7" s="72"/>
      <c r="F7" s="72"/>
      <c r="G7" s="72"/>
      <c r="H7" s="72"/>
      <c r="I7" s="33"/>
      <c r="J7" s="73" t="n">
        <f aca="false">(1/(B7*C7*2.20462))</f>
        <v>0.317912164902318</v>
      </c>
      <c r="K7" s="72"/>
      <c r="L7" s="75"/>
      <c r="M7" s="74" t="n">
        <f aca="false">H7+J7+L7</f>
        <v>0.317912164902318</v>
      </c>
      <c r="N7" s="1"/>
    </row>
    <row r="8" customFormat="false" ht="12.8" hidden="false" customHeight="true" outlineLevel="0" collapsed="false">
      <c r="A8" s="76" t="s">
        <v>48</v>
      </c>
      <c r="B8" s="72" t="n">
        <f aca="false">H158</f>
        <v>2.64219794666666</v>
      </c>
      <c r="C8" s="72" t="n">
        <v>0.5305</v>
      </c>
      <c r="D8" s="72" t="n">
        <v>0.26</v>
      </c>
      <c r="E8" s="72" t="n">
        <f aca="false">(B8*D8*$E$108)*I8</f>
        <v>16.9428920809777</v>
      </c>
      <c r="F8" s="72" t="n">
        <f aca="false">E8*1.123</f>
        <v>19.026867806938</v>
      </c>
      <c r="G8" s="72" t="n">
        <f aca="false">F8/(B8*C8)</f>
        <v>13.5742724558872</v>
      </c>
      <c r="H8" s="72" t="n">
        <f aca="false">G8*0.453692</f>
        <v>6.1585388190564</v>
      </c>
      <c r="I8" s="33" t="n">
        <v>0.927</v>
      </c>
      <c r="J8" s="73" t="n">
        <f aca="false">(1/(B8*C8*2.20462))</f>
        <v>0.323605219693217</v>
      </c>
      <c r="K8" s="72" t="n">
        <f aca="false">$G$64</f>
        <v>0.485416666666667</v>
      </c>
      <c r="L8" s="75" t="n">
        <f aca="false">J8*(K8/(1-K8))*I8</f>
        <v>0.282979008124525</v>
      </c>
      <c r="M8" s="74" t="n">
        <f aca="false">(H8+J8+L8)+(0.08*(1-I8)*J8)</f>
        <v>6.76701290135715</v>
      </c>
      <c r="N8" s="1"/>
    </row>
    <row r="9" customFormat="false" ht="12.8" hidden="false" customHeight="true" outlineLevel="0" collapsed="false">
      <c r="A9" s="1" t="s">
        <v>145</v>
      </c>
      <c r="B9" s="72" t="n">
        <f aca="false">H159</f>
        <v>25.366448</v>
      </c>
      <c r="C9" s="72" t="n">
        <v>0.5305</v>
      </c>
      <c r="D9" s="72"/>
      <c r="E9" s="72"/>
      <c r="F9" s="72"/>
      <c r="G9" s="72"/>
      <c r="H9" s="72"/>
      <c r="I9" s="33"/>
      <c r="J9" s="73" t="n">
        <f aca="false">(1/(B9*C9*2.20462))</f>
        <v>0.0337070861085491</v>
      </c>
      <c r="K9" s="72"/>
      <c r="L9" s="75"/>
      <c r="M9" s="74" t="n">
        <f aca="false">1.08*J9</f>
        <v>0.036403652997233</v>
      </c>
      <c r="N9" s="1"/>
    </row>
    <row r="10" customFormat="false" ht="12.8" hidden="false" customHeight="true" outlineLevel="0" collapsed="false">
      <c r="A10" s="1" t="s">
        <v>50</v>
      </c>
      <c r="B10" s="72" t="n">
        <f aca="false">H160</f>
        <v>0.843876</v>
      </c>
      <c r="C10" s="72" t="n">
        <v>0.5305</v>
      </c>
      <c r="D10" s="72" t="n">
        <v>0.26</v>
      </c>
      <c r="E10" s="72" t="n">
        <f aca="false">(B10*D10*$E$108)*I10</f>
        <v>5.83742206463959</v>
      </c>
      <c r="F10" s="72" t="n">
        <f aca="false">E10*1.123</f>
        <v>6.55542497859026</v>
      </c>
      <c r="G10" s="72" t="n">
        <f aca="false">F10/(B10*C10)</f>
        <v>14.6432281077532</v>
      </c>
      <c r="H10" s="72" t="n">
        <f aca="false">G10*0.453692</f>
        <v>6.64351544666278</v>
      </c>
      <c r="I10" s="33" t="n">
        <v>1</v>
      </c>
      <c r="J10" s="73" t="n">
        <f aca="false">(1/(B10*C10*2.20462))</f>
        <v>1.01321645242196</v>
      </c>
      <c r="K10" s="72" t="n">
        <f aca="false">$G$64</f>
        <v>0.485416666666667</v>
      </c>
      <c r="L10" s="75" t="n">
        <f aca="false">J10*(K10/(1-K10))*I10</f>
        <v>0.955787179815047</v>
      </c>
      <c r="M10" s="74" t="n">
        <f aca="false">(H10+J10+L10)+(0.08*(1-I10)*J10)</f>
        <v>8.61251907889978</v>
      </c>
      <c r="N10" s="1"/>
    </row>
    <row r="11" customFormat="false" ht="12.8" hidden="false" customHeight="true" outlineLevel="0" collapsed="false">
      <c r="A11" s="1" t="s">
        <v>51</v>
      </c>
      <c r="B11" s="72" t="n">
        <f aca="false">H161</f>
        <v>2.696</v>
      </c>
      <c r="C11" s="72" t="n">
        <v>0.4962</v>
      </c>
      <c r="D11" s="1"/>
      <c r="E11" s="1"/>
      <c r="I11" s="33"/>
      <c r="J11" s="73" t="n">
        <f aca="false">(1/(B11*C11*2.20462))</f>
        <v>0.33907018969961</v>
      </c>
      <c r="L11" s="72"/>
      <c r="M11" s="74" t="n">
        <f aca="false">1.08*J11</f>
        <v>0.366195804875579</v>
      </c>
      <c r="N11" s="1"/>
    </row>
    <row r="12" customFormat="false" ht="12.8" hidden="false" customHeight="true" outlineLevel="0" collapsed="false">
      <c r="A12" s="1" t="s">
        <v>52</v>
      </c>
      <c r="B12" s="72" t="n">
        <f aca="false">H162</f>
        <v>10.595343</v>
      </c>
      <c r="C12" s="72" t="n">
        <v>0.4726</v>
      </c>
      <c r="D12" s="1"/>
      <c r="E12" s="1"/>
      <c r="I12" s="33"/>
      <c r="J12" s="73" t="n">
        <f aca="false">(1/(B12*C12*2.20462))</f>
        <v>0.0905852566620569</v>
      </c>
      <c r="L12" s="72"/>
      <c r="M12" s="74" t="n">
        <f aca="false">1.08*J12</f>
        <v>0.0978320771950215</v>
      </c>
      <c r="N12" s="1"/>
    </row>
    <row r="13" customFormat="false" ht="12.8" hidden="false" customHeight="true" outlineLevel="0" collapsed="false">
      <c r="A13" s="1" t="s">
        <v>53</v>
      </c>
      <c r="B13" s="72" t="n">
        <f aca="false">H163</f>
        <v>1.203387424</v>
      </c>
      <c r="C13" s="72" t="n">
        <v>0.391</v>
      </c>
      <c r="D13" s="73"/>
      <c r="E13" s="73"/>
      <c r="F13" s="73"/>
      <c r="G13" s="73"/>
      <c r="H13" s="73"/>
      <c r="I13" s="33"/>
      <c r="J13" s="73" t="n">
        <f aca="false">(1/(B13*C13*2.20462))</f>
        <v>0.96401553167185</v>
      </c>
      <c r="L13" s="73"/>
      <c r="M13" s="73" t="n">
        <f aca="false">2*J13</f>
        <v>1.9280310633437</v>
      </c>
      <c r="N13" s="77" t="s">
        <v>146</v>
      </c>
    </row>
    <row r="14" customFormat="false" ht="12.8" hidden="false" customHeight="true" outlineLevel="0" collapsed="false">
      <c r="A14" s="78" t="s">
        <v>54</v>
      </c>
      <c r="B14" s="72" t="n">
        <f aca="false">B88</f>
        <v>0.961686133486766</v>
      </c>
      <c r="C14" s="72" t="n">
        <f aca="false">B89</f>
        <v>0.557792207792208</v>
      </c>
      <c r="D14" s="1"/>
      <c r="E14" s="1"/>
      <c r="H14" s="72"/>
      <c r="I14" s="33"/>
      <c r="J14" s="74" t="n">
        <f aca="false">$D$92</f>
        <v>0.845445485005855</v>
      </c>
      <c r="L14" s="74"/>
      <c r="M14" s="74" t="n">
        <f aca="false">$D$93</f>
        <v>10.0197613705576</v>
      </c>
      <c r="N14" s="79" t="s">
        <v>147</v>
      </c>
    </row>
    <row r="15" customFormat="false" ht="12.8" hidden="false" customHeight="true" outlineLevel="0" collapsed="false">
      <c r="A15" s="1" t="s">
        <v>55</v>
      </c>
      <c r="B15" s="72" t="n">
        <f aca="false">H165</f>
        <v>0.463221</v>
      </c>
      <c r="C15" s="72" t="n">
        <v>0.5275</v>
      </c>
      <c r="D15" s="1"/>
      <c r="E15" s="1"/>
      <c r="I15" s="33"/>
      <c r="J15" s="73" t="n">
        <f aca="false">(1/(B15*C15*2.20462))</f>
        <v>1.85633158134448</v>
      </c>
      <c r="L15" s="72"/>
      <c r="M15" s="74" t="n">
        <f aca="false">1.08*J15</f>
        <v>2.00483810785204</v>
      </c>
      <c r="N15" s="1"/>
    </row>
    <row r="16" customFormat="false" ht="12.8" hidden="false" customHeight="true" outlineLevel="0" collapsed="false">
      <c r="A16" s="1" t="s">
        <v>56</v>
      </c>
      <c r="B16" s="72" t="n">
        <f aca="false">H166</f>
        <v>1.35</v>
      </c>
      <c r="C16" s="72" t="n">
        <v>0.4962</v>
      </c>
      <c r="D16" s="1"/>
      <c r="E16" s="1"/>
      <c r="I16" s="33"/>
      <c r="J16" s="73" t="n">
        <f aca="false">(1/(B16*C16*2.20462))</f>
        <v>0.677135726985295</v>
      </c>
      <c r="L16" s="72"/>
      <c r="M16" s="74" t="n">
        <f aca="false">1.08*J16</f>
        <v>0.731306585144119</v>
      </c>
      <c r="N16" s="1"/>
    </row>
    <row r="17" customFormat="false" ht="12.8" hidden="false" customHeight="true" outlineLevel="0" collapsed="false">
      <c r="A17" s="1" t="s">
        <v>57</v>
      </c>
      <c r="B17" s="72" t="n">
        <f aca="false">H167</f>
        <v>1.005285</v>
      </c>
      <c r="C17" s="72" t="n">
        <v>0.4962</v>
      </c>
      <c r="D17" s="1"/>
      <c r="E17" s="1"/>
      <c r="I17" s="33"/>
      <c r="J17" s="73" t="n">
        <f aca="false">(1/(B17*C17*2.20462))</f>
        <v>0.909327435931252</v>
      </c>
      <c r="L17" s="72"/>
      <c r="M17" s="74" t="n">
        <f aca="false">1.08*J17</f>
        <v>0.982073630805752</v>
      </c>
      <c r="N17" s="1"/>
    </row>
    <row r="18" customFormat="false" ht="12.8" hidden="false" customHeight="true" outlineLevel="0" collapsed="false">
      <c r="A18" s="1" t="s">
        <v>58</v>
      </c>
      <c r="B18" s="72" t="n">
        <f aca="false">H168</f>
        <v>11.43318</v>
      </c>
      <c r="C18" s="72" t="n">
        <v>0.5275</v>
      </c>
      <c r="D18" s="1"/>
      <c r="E18" s="1"/>
      <c r="I18" s="33"/>
      <c r="J18" s="73" t="n">
        <f aca="false">(1/(B18*C18*2.20462))</f>
        <v>0.0752102014874227</v>
      </c>
      <c r="L18" s="72"/>
      <c r="M18" s="74" t="n">
        <f aca="false">1.08*J18</f>
        <v>0.0812270176064165</v>
      </c>
      <c r="N18" s="1"/>
    </row>
    <row r="19" customFormat="false" ht="12.8" hidden="false" customHeight="true" outlineLevel="0" collapsed="false">
      <c r="A19" s="1" t="s">
        <v>59</v>
      </c>
      <c r="B19" s="72" t="n">
        <f aca="false">H169</f>
        <v>0.249212</v>
      </c>
      <c r="C19" s="72" t="n">
        <v>0.6019</v>
      </c>
      <c r="D19" s="1"/>
      <c r="E19" s="1"/>
      <c r="I19" s="33"/>
      <c r="J19" s="73" t="n">
        <f aca="false">(1/(B19*C19*2.20462))</f>
        <v>3.02393856141079</v>
      </c>
      <c r="L19" s="72"/>
      <c r="M19" s="74" t="n">
        <f aca="false">1.08*J19</f>
        <v>3.26585364632366</v>
      </c>
      <c r="N19" s="1"/>
    </row>
    <row r="20" customFormat="false" ht="12.8" hidden="false" customHeight="true" outlineLevel="0" collapsed="false">
      <c r="A20" s="1" t="s">
        <v>60</v>
      </c>
      <c r="B20" s="72" t="n">
        <f aca="false">H170</f>
        <v>1.499787</v>
      </c>
      <c r="C20" s="80" t="n">
        <v>0.5409</v>
      </c>
      <c r="D20" s="1"/>
      <c r="E20" s="1"/>
      <c r="I20" s="33"/>
      <c r="J20" s="73" t="n">
        <f aca="false">(1/(B20*C20*2.20462))</f>
        <v>0.559138878136841</v>
      </c>
      <c r="L20" s="72"/>
      <c r="M20" s="74" t="n">
        <f aca="false">1.08*J20</f>
        <v>0.603869988387788</v>
      </c>
      <c r="N20" s="1"/>
    </row>
    <row r="21" customFormat="false" ht="12.8" hidden="false" customHeight="true" outlineLevel="0" collapsed="false">
      <c r="A21" s="1" t="s">
        <v>61</v>
      </c>
      <c r="B21" s="72" t="n">
        <f aca="false">H171</f>
        <v>0.57</v>
      </c>
      <c r="C21" s="72" t="n">
        <v>0.2</v>
      </c>
      <c r="D21" s="1"/>
      <c r="E21" s="1"/>
      <c r="I21" s="33"/>
      <c r="J21" s="73" t="n">
        <f aca="false">(1/(B21*C21*2.20462))</f>
        <v>3.97888517048807</v>
      </c>
      <c r="L21" s="72"/>
      <c r="M21" s="74" t="n">
        <f aca="false">2*J21</f>
        <v>7.95777034097614</v>
      </c>
      <c r="N21" s="77" t="s">
        <v>146</v>
      </c>
    </row>
    <row r="22" customFormat="false" ht="12.8" hidden="false" customHeight="true" outlineLevel="0" collapsed="false">
      <c r="A22" s="1" t="s">
        <v>62</v>
      </c>
      <c r="B22" s="72" t="n">
        <v>10</v>
      </c>
      <c r="C22" s="72" t="n">
        <v>0.6174</v>
      </c>
      <c r="D22" s="1"/>
      <c r="E22" s="1"/>
      <c r="I22" s="33"/>
      <c r="J22" s="73" t="n">
        <f aca="false">(1/(B22*C22*2.20462))</f>
        <v>0.0734682392995853</v>
      </c>
      <c r="L22" s="72"/>
      <c r="M22" s="74" t="n">
        <f aca="false">1.08*J22</f>
        <v>0.0793456984435522</v>
      </c>
      <c r="N22" s="77"/>
    </row>
    <row r="23" customFormat="false" ht="20.85" hidden="false" customHeight="true" outlineLevel="0" collapsed="false">
      <c r="A23" s="76" t="s">
        <v>63</v>
      </c>
      <c r="B23" s="72" t="n">
        <f aca="false">H173</f>
        <v>0.38625</v>
      </c>
      <c r="C23" s="72" t="n">
        <v>0.61</v>
      </c>
      <c r="D23" s="72" t="n">
        <v>0.75</v>
      </c>
      <c r="E23" s="72" t="n">
        <f aca="false">(B23*D23*$E$108)*I23</f>
        <v>7.32187774093664</v>
      </c>
      <c r="F23" s="72" t="n">
        <f aca="false">E23*1.123</f>
        <v>8.22246870307184</v>
      </c>
      <c r="G23" s="72" t="n">
        <f aca="false">F23/(B23*C23)</f>
        <v>34.8982702661015</v>
      </c>
      <c r="H23" s="72" t="n">
        <f aca="false">G23*0.453692</f>
        <v>15.8330660335681</v>
      </c>
      <c r="I23" s="33" t="n">
        <v>0.95</v>
      </c>
      <c r="J23" s="73" t="n">
        <f aca="false">(1/(B23*C23*2.20462))</f>
        <v>1.92516487637812</v>
      </c>
      <c r="K23" s="72" t="n">
        <f aca="false">$G$83</f>
        <v>0.4725</v>
      </c>
      <c r="L23" s="75" t="n">
        <f aca="false">J23*(K23/(1-K23))*I23</f>
        <v>1.63821494575209</v>
      </c>
      <c r="M23" s="74" t="n">
        <f aca="false">(H23+J23+L23)+(0.08*(1-I23)*J23)</f>
        <v>19.4041465152039</v>
      </c>
      <c r="N23" s="72"/>
    </row>
    <row r="24" customFormat="false" ht="12.8" hidden="false" customHeight="true" outlineLevel="0" collapsed="false">
      <c r="A24" s="76" t="s">
        <v>148</v>
      </c>
      <c r="B24" s="72" t="n">
        <f aca="false">H174</f>
        <v>0.6</v>
      </c>
      <c r="C24" s="72" t="n">
        <v>0.61</v>
      </c>
      <c r="D24" s="72"/>
      <c r="E24" s="72"/>
      <c r="F24" s="72"/>
      <c r="G24" s="72"/>
      <c r="H24" s="72"/>
      <c r="I24" s="33"/>
      <c r="J24" s="73" t="n">
        <f aca="false">(1/(B24*C24*2.20462))</f>
        <v>1.23932488916841</v>
      </c>
      <c r="K24" s="72"/>
      <c r="L24" s="75"/>
      <c r="M24" s="74" t="n">
        <f aca="false">1.08*J24</f>
        <v>1.33847088030189</v>
      </c>
      <c r="N24" s="72"/>
    </row>
    <row r="25" customFormat="false" ht="12.8" hidden="false" customHeight="true" outlineLevel="0" collapsed="false">
      <c r="A25" s="76" t="s">
        <v>65</v>
      </c>
      <c r="B25" s="72" t="n">
        <f aca="false">H175</f>
        <v>0.375</v>
      </c>
      <c r="C25" s="72" t="n">
        <v>0.61</v>
      </c>
      <c r="D25" s="72" t="n">
        <v>0.75</v>
      </c>
      <c r="E25" s="72" t="n">
        <f aca="false">(B25*D25*$E$108)*I25</f>
        <v>7.48275701679779</v>
      </c>
      <c r="F25" s="72" t="n">
        <f aca="false">E25*1.123</f>
        <v>8.40313612986392</v>
      </c>
      <c r="G25" s="72" t="n">
        <f aca="false">F25/(B25*C25)</f>
        <v>36.7350213327384</v>
      </c>
      <c r="H25" s="72" t="n">
        <f aca="false">G25*0.453692</f>
        <v>16.6663852984928</v>
      </c>
      <c r="I25" s="33" t="n">
        <v>1</v>
      </c>
      <c r="J25" s="73" t="n">
        <f aca="false">(1/(B25*C25*2.20462))</f>
        <v>1.98291982266946</v>
      </c>
      <c r="K25" s="72" t="n">
        <f aca="false">$G$83</f>
        <v>0.4725</v>
      </c>
      <c r="L25" s="75" t="n">
        <f aca="false">J25*(K25/(1-K25))*I25</f>
        <v>1.77616988855227</v>
      </c>
      <c r="M25" s="74" t="n">
        <f aca="false">(H25+J25+L25)+(0.08*(1-I25)*J25)</f>
        <v>20.4254750097145</v>
      </c>
      <c r="N25" s="72"/>
    </row>
    <row r="26" customFormat="false" ht="13.8" hidden="false" customHeight="true" outlineLevel="0" collapsed="false">
      <c r="A26" s="1" t="s">
        <v>66</v>
      </c>
      <c r="B26" s="72" t="n">
        <f aca="false">H176</f>
        <v>0.900367</v>
      </c>
      <c r="C26" s="80" t="n">
        <v>0.5409</v>
      </c>
      <c r="D26" s="1" t="n">
        <v>0.75</v>
      </c>
      <c r="E26" s="72" t="n">
        <f aca="false">(B26*D26*$E$108)*I26</f>
        <v>2.38947001536918</v>
      </c>
      <c r="F26" s="72" t="n">
        <f aca="false">E26*1.123</f>
        <v>2.68337482725959</v>
      </c>
      <c r="G26" s="72" t="n">
        <f aca="false">F26/(B26*C26)</f>
        <v>5.50991362677957</v>
      </c>
      <c r="H26" s="72" t="n">
        <f aca="false">G26*0.453692</f>
        <v>2.49980373316088</v>
      </c>
      <c r="I26" s="33" t="n">
        <v>0.133</v>
      </c>
      <c r="J26" s="73" t="n">
        <f aca="false">(1/(B26*C26*2.20462))</f>
        <v>0.931386002179354</v>
      </c>
      <c r="K26" s="1" t="n">
        <v>0.22</v>
      </c>
      <c r="L26" s="75" t="n">
        <f aca="false">J26*(K26/(1-K26))*I26</f>
        <v>0.0349389159279076</v>
      </c>
      <c r="M26" s="74" t="n">
        <f aca="false">(H26+J26+L26)+(0.08*(1-I26)*J26)</f>
        <v>3.5307295843793</v>
      </c>
      <c r="N26" s="79" t="s">
        <v>149</v>
      </c>
    </row>
    <row r="27" customFormat="false" ht="13.8" hidden="false" customHeight="true" outlineLevel="0" collapsed="false">
      <c r="A27" s="1" t="s">
        <v>67</v>
      </c>
      <c r="B27" s="81" t="n">
        <v>0.899538</v>
      </c>
      <c r="C27" s="80" t="n">
        <v>0.4962</v>
      </c>
      <c r="D27" s="1"/>
      <c r="E27" s="72"/>
      <c r="F27" s="72"/>
      <c r="G27" s="72"/>
      <c r="H27" s="72"/>
      <c r="I27" s="33"/>
      <c r="J27" s="73" t="n">
        <f aca="false">(1/(B27*C27*2.20462))</f>
        <v>1.01622525277437</v>
      </c>
      <c r="L27" s="75"/>
      <c r="M27" s="74" t="n">
        <f aca="false">1.08*J27</f>
        <v>1.09752327299632</v>
      </c>
      <c r="N27" s="79"/>
    </row>
    <row r="28" customFormat="false" ht="18.9" hidden="false" customHeight="true" outlineLevel="0" collapsed="false">
      <c r="A28" s="1" t="s">
        <v>68</v>
      </c>
      <c r="B28" s="72" t="n">
        <f aca="false">H178</f>
        <v>0.46972888</v>
      </c>
      <c r="C28" s="72" t="n">
        <v>0.4726</v>
      </c>
      <c r="D28" s="1" t="n">
        <v>0.75</v>
      </c>
      <c r="E28" s="72" t="n">
        <f aca="false">(B28*D28*$E$108)*I28</f>
        <v>0.656108520258346</v>
      </c>
      <c r="F28" s="72" t="n">
        <f aca="false">E28*1.123</f>
        <v>0.736809868250122</v>
      </c>
      <c r="G28" s="72" t="n">
        <f aca="false">F28/(B28*C28)</f>
        <v>3.31905503789236</v>
      </c>
      <c r="H28" s="72" t="n">
        <f aca="false">G28*0.453692</f>
        <v>1.50582871825146</v>
      </c>
      <c r="I28" s="33" t="n">
        <v>0.07</v>
      </c>
      <c r="J28" s="73" t="n">
        <f aca="false">(1/(B28*C28*2.20462))</f>
        <v>2.04326773580012</v>
      </c>
      <c r="K28" s="1" t="n">
        <v>0.175</v>
      </c>
      <c r="L28" s="75" t="n">
        <f aca="false">J28*(K28/(1-K28))*I28</f>
        <v>0.0303394300164261</v>
      </c>
      <c r="M28" s="74" t="n">
        <f aca="false">(H28+J28+L28)+(0.08*(1-I28)*J28)</f>
        <v>3.73145500361154</v>
      </c>
      <c r="N28" s="79" t="s">
        <v>150</v>
      </c>
    </row>
    <row r="29" customFormat="false" ht="12.8" hidden="false" customHeight="true" outlineLevel="0" collapsed="false">
      <c r="A29" s="1" t="s">
        <v>151</v>
      </c>
      <c r="B29" s="72" t="n">
        <f aca="false">H179</f>
        <v>0.429816</v>
      </c>
      <c r="C29" s="72" t="n">
        <v>0.4726</v>
      </c>
      <c r="D29" s="1"/>
      <c r="E29" s="72"/>
      <c r="F29" s="72"/>
      <c r="G29" s="72"/>
      <c r="H29" s="72"/>
      <c r="I29" s="33"/>
      <c r="J29" s="73" t="n">
        <f aca="false">(1/(B29*C29*2.20462))</f>
        <v>2.2330063680215</v>
      </c>
      <c r="L29" s="75"/>
      <c r="M29" s="74" t="n">
        <f aca="false">1.08*J29</f>
        <v>2.41164687746322</v>
      </c>
      <c r="N29" s="1"/>
    </row>
    <row r="30" customFormat="false" ht="12.8" hidden="false" customHeight="true" outlineLevel="0" collapsed="false">
      <c r="A30" s="1" t="s">
        <v>70</v>
      </c>
      <c r="B30" s="72" t="n">
        <f aca="false">H180</f>
        <v>1</v>
      </c>
      <c r="C30" s="72" t="n">
        <v>0.4726</v>
      </c>
      <c r="D30" s="1" t="n">
        <v>0.75</v>
      </c>
      <c r="E30" s="72" t="n">
        <f aca="false">(B30*D30*$E$108)*I30</f>
        <v>19.9540187114608</v>
      </c>
      <c r="F30" s="72" t="n">
        <f aca="false">E30*1.123</f>
        <v>22.4083630129704</v>
      </c>
      <c r="G30" s="72" t="n">
        <f aca="false">F30/(B30*C30)</f>
        <v>47.4150719698909</v>
      </c>
      <c r="H30" s="72" t="n">
        <f aca="false">G30*0.453692</f>
        <v>21.5118388321637</v>
      </c>
      <c r="I30" s="33" t="n">
        <v>1</v>
      </c>
      <c r="J30" s="73" t="n">
        <f aca="false">(1/(B30*C30*2.20462))</f>
        <v>0.959781865077528</v>
      </c>
      <c r="K30" s="1" t="n">
        <v>0.175</v>
      </c>
      <c r="L30" s="75" t="n">
        <f aca="false">J30*(K30/(1-K30))*I30</f>
        <v>0.203590092592203</v>
      </c>
      <c r="M30" s="74" t="n">
        <f aca="false">(H30+J30+L30)+(0.08*(1-I30)*J30)</f>
        <v>22.6752107898335</v>
      </c>
      <c r="N30" s="1"/>
    </row>
    <row r="31" customFormat="false" ht="12.8" hidden="false" customHeight="true" outlineLevel="0" collapsed="false">
      <c r="A31" s="1" t="s">
        <v>152</v>
      </c>
      <c r="B31" s="72" t="n">
        <f aca="false">H181</f>
        <v>5.43877344</v>
      </c>
      <c r="C31" s="72" t="n">
        <f aca="false">((0.76*C33)+(0.24*C32))</f>
        <v>0.586992</v>
      </c>
      <c r="D31" s="1" t="n">
        <v>0.96</v>
      </c>
      <c r="E31" s="72" t="n">
        <f aca="false">(B31*D31*$E$108)*I31</f>
        <v>105.573496463051</v>
      </c>
      <c r="F31" s="72" t="n">
        <f aca="false">E31*1.123</f>
        <v>118.559036528006</v>
      </c>
      <c r="G31" s="72" t="n">
        <f aca="false">F31/(B31*C31)</f>
        <v>37.1365462204215</v>
      </c>
      <c r="H31" s="72" t="n">
        <f aca="false">G31*0.453692</f>
        <v>16.8485539278355</v>
      </c>
      <c r="I31" s="33" t="n">
        <v>0.76</v>
      </c>
      <c r="J31" s="73" t="n">
        <f aca="false">(1/(B31*C31*2.20462))</f>
        <v>0.142080051759977</v>
      </c>
      <c r="K31" s="72" t="n">
        <f aca="false">$G$66</f>
        <v>0.220625</v>
      </c>
      <c r="L31" s="75" t="n">
        <f aca="false">J31*(K31/(1-K31))</f>
        <v>0.0402199344597208</v>
      </c>
      <c r="M31" s="74" t="n">
        <f aca="false">(H31+J31+L31)+(0.08*(1-I31)*J31)</f>
        <v>17.033581851049</v>
      </c>
      <c r="N31" s="79" t="s">
        <v>153</v>
      </c>
    </row>
    <row r="32" customFormat="false" ht="12.8" hidden="false" customHeight="true" outlineLevel="0" collapsed="false">
      <c r="A32" s="1" t="s">
        <v>154</v>
      </c>
      <c r="B32" s="72" t="n">
        <f aca="false">H182</f>
        <v>3.585556</v>
      </c>
      <c r="C32" s="72" t="n">
        <v>0.5933</v>
      </c>
      <c r="D32" s="1"/>
      <c r="E32" s="1"/>
      <c r="I32" s="33"/>
      <c r="J32" s="73" t="n">
        <f aca="false">(1/(B32*C32*2.20462))</f>
        <v>0.213223662521876</v>
      </c>
      <c r="L32" s="72"/>
      <c r="M32" s="74" t="n">
        <f aca="false">1.08*J32</f>
        <v>0.230281555523626</v>
      </c>
      <c r="N32" s="79" t="s">
        <v>155</v>
      </c>
    </row>
    <row r="33" customFormat="false" ht="13.8" hidden="false" customHeight="true" outlineLevel="0" collapsed="false">
      <c r="A33" s="1" t="s">
        <v>73</v>
      </c>
      <c r="B33" s="72" t="n">
        <f aca="false">H183</f>
        <v>6.024</v>
      </c>
      <c r="C33" s="72" t="n">
        <v>0.585</v>
      </c>
      <c r="D33" s="1" t="n">
        <v>0.96</v>
      </c>
      <c r="E33" s="72" t="n">
        <f aca="false">(B33*D33*$E$108)*I33</f>
        <v>153.859851158835</v>
      </c>
      <c r="F33" s="72" t="n">
        <f aca="false">E33*1.123</f>
        <v>172.784612851371</v>
      </c>
      <c r="G33" s="72" t="n">
        <f aca="false">F33/(B33*C33)</f>
        <v>49.0302643702601</v>
      </c>
      <c r="H33" s="72" t="n">
        <f aca="false">G33*0.453692</f>
        <v>22.2446387026721</v>
      </c>
      <c r="I33" s="33" t="n">
        <v>1</v>
      </c>
      <c r="J33" s="73" t="n">
        <f aca="false">(1/(B33*C33*2.20462))</f>
        <v>0.128713893552752</v>
      </c>
      <c r="K33" s="72" t="n">
        <f aca="false">$G$66</f>
        <v>0.220625</v>
      </c>
      <c r="L33" s="75" t="n">
        <f aca="false">J33*(K33/(1-K33))</f>
        <v>0.0364362505405946</v>
      </c>
      <c r="M33" s="74" t="n">
        <f aca="false">(H33+J33+L33)+(0.08*(1-I33)*J33)</f>
        <v>22.4097888467654</v>
      </c>
      <c r="N33" s="79" t="s">
        <v>156</v>
      </c>
    </row>
    <row r="34" customFormat="false" ht="13.8" hidden="false" customHeight="true" outlineLevel="0" collapsed="false">
      <c r="A34" s="1" t="s">
        <v>74</v>
      </c>
      <c r="B34" s="72" t="n">
        <f aca="false">H184</f>
        <v>0.100534629969233</v>
      </c>
      <c r="C34" s="72" t="n">
        <v>0.6019</v>
      </c>
      <c r="D34" s="1"/>
      <c r="E34" s="1"/>
      <c r="I34" s="33"/>
      <c r="J34" s="73" t="n">
        <f aca="false">(1/(B34*C34*2.20462))</f>
        <v>7.49594221411004</v>
      </c>
      <c r="L34" s="72"/>
      <c r="M34" s="74" t="n">
        <f aca="false">1.08*J34</f>
        <v>8.09561759123885</v>
      </c>
      <c r="N34" s="1"/>
    </row>
    <row r="35" customFormat="false" ht="12.8" hidden="false" customHeight="true" outlineLevel="0" collapsed="false">
      <c r="A35" s="1" t="s">
        <v>75</v>
      </c>
      <c r="B35" s="72" t="n">
        <f aca="false">H185</f>
        <v>0.082741</v>
      </c>
      <c r="C35" s="80" t="n">
        <v>0.5409</v>
      </c>
      <c r="D35" s="1"/>
      <c r="E35" s="1"/>
      <c r="I35" s="33"/>
      <c r="J35" s="73" t="n">
        <f aca="false">(1/(B35*C35*2.20462))</f>
        <v>10.1351110165966</v>
      </c>
      <c r="L35" s="72"/>
      <c r="M35" s="74" t="n">
        <f aca="false">1.08*J35</f>
        <v>10.9459198979243</v>
      </c>
      <c r="N35" s="1"/>
    </row>
    <row r="36" customFormat="false" ht="12.8" hidden="false" customHeight="true" outlineLevel="0" collapsed="false">
      <c r="A36" s="76" t="s">
        <v>76</v>
      </c>
      <c r="B36" s="72" t="n">
        <f aca="false">H186</f>
        <v>0.02</v>
      </c>
      <c r="C36" s="72" t="n">
        <v>0.57</v>
      </c>
      <c r="D36" s="72" t="n">
        <v>0.86</v>
      </c>
      <c r="E36" s="72" t="n">
        <f aca="false">(B36*D36*$E$108)*I36</f>
        <v>0.396749744843717</v>
      </c>
      <c r="F36" s="72" t="n">
        <f aca="false">E36*1.123</f>
        <v>0.445549963459494</v>
      </c>
      <c r="G36" s="72" t="n">
        <f aca="false">F36/(B36*C36)</f>
        <v>39.0833301280258</v>
      </c>
      <c r="H36" s="72" t="n">
        <f aca="false">G36*0.453692</f>
        <v>17.7317942124443</v>
      </c>
      <c r="I36" s="33" t="n">
        <v>0.867</v>
      </c>
      <c r="J36" s="73" t="n">
        <f aca="false">(1/(B36*C36*2.20462))</f>
        <v>39.7888517048807</v>
      </c>
      <c r="K36" s="72" t="n">
        <f aca="false">$G$84</f>
        <v>0.234</v>
      </c>
      <c r="L36" s="75" t="n">
        <f aca="false">J36*(K36/(1-K36))*I36</f>
        <v>10.5382280106825</v>
      </c>
      <c r="M36" s="74" t="n">
        <f aca="false">(H36+J36+L36)+(0.08*(1-I36)*J36)</f>
        <v>68.4822273101474</v>
      </c>
      <c r="N36" s="72"/>
    </row>
    <row r="37" customFormat="false" ht="12.8" hidden="false" customHeight="true" outlineLevel="0" collapsed="false">
      <c r="A37" s="76" t="s">
        <v>157</v>
      </c>
      <c r="B37" s="72" t="n">
        <f aca="false">H187</f>
        <v>0.02</v>
      </c>
      <c r="C37" s="72" t="n">
        <v>0.57</v>
      </c>
      <c r="D37" s="72"/>
      <c r="E37" s="72"/>
      <c r="F37" s="72"/>
      <c r="G37" s="72"/>
      <c r="H37" s="72"/>
      <c r="I37" s="33"/>
      <c r="J37" s="73" t="n">
        <f aca="false">(1/(B37*C37*2.20462))</f>
        <v>39.7888517048807</v>
      </c>
      <c r="K37" s="72"/>
      <c r="L37" s="75"/>
      <c r="M37" s="74" t="n">
        <f aca="false">1.08*J37</f>
        <v>42.9719598412711</v>
      </c>
      <c r="N37" s="72"/>
    </row>
    <row r="38" customFormat="false" ht="12.8" hidden="false" customHeight="true" outlineLevel="0" collapsed="false">
      <c r="A38" s="76" t="s">
        <v>78</v>
      </c>
      <c r="B38" s="72" t="n">
        <f aca="false">H188</f>
        <v>0.02</v>
      </c>
      <c r="C38" s="72" t="n">
        <v>0.57</v>
      </c>
      <c r="D38" s="72" t="n">
        <v>0.86</v>
      </c>
      <c r="E38" s="72" t="n">
        <f aca="false">(B38*D38*$E$108)*I38</f>
        <v>0.4576121624495</v>
      </c>
      <c r="F38" s="72" t="n">
        <f aca="false">E38*1.123</f>
        <v>0.513898458430789</v>
      </c>
      <c r="G38" s="72" t="n">
        <f aca="false">F38/(B38*C38)</f>
        <v>45.0788121430517</v>
      </c>
      <c r="H38" s="72" t="n">
        <f aca="false">G38*0.453692</f>
        <v>20.4518964388054</v>
      </c>
      <c r="I38" s="33" t="n">
        <v>1</v>
      </c>
      <c r="J38" s="73" t="n">
        <f aca="false">(1/(B38*C38*2.20462))</f>
        <v>39.7888517048807</v>
      </c>
      <c r="K38" s="72" t="n">
        <f aca="false">$G$84</f>
        <v>0.234</v>
      </c>
      <c r="L38" s="75" t="n">
        <f aca="false">J38*(K38/(1-K38))*I38</f>
        <v>12.1548189281228</v>
      </c>
      <c r="M38" s="74" t="n">
        <f aca="false">(H38+J38+L38)+(0.08*(1-I38)*J38)</f>
        <v>72.3955670718089</v>
      </c>
      <c r="N38" s="72"/>
    </row>
    <row r="39" customFormat="false" ht="12.8" hidden="false" customHeight="true" outlineLevel="0" collapsed="false">
      <c r="A39" s="1" t="s">
        <v>79</v>
      </c>
      <c r="B39" s="72" t="n">
        <f aca="false">H189</f>
        <v>0.045981</v>
      </c>
      <c r="C39" s="72" t="n">
        <v>0.5933</v>
      </c>
      <c r="D39" s="1"/>
      <c r="E39" s="1"/>
      <c r="I39" s="33"/>
      <c r="J39" s="73" t="n">
        <f aca="false">(1/(B39*C39*2.20462))</f>
        <v>16.6269846783951</v>
      </c>
      <c r="L39" s="72"/>
      <c r="M39" s="74" t="n">
        <f aca="false">1.08*J39</f>
        <v>17.9571434526667</v>
      </c>
      <c r="N39" s="1"/>
    </row>
    <row r="40" customFormat="false" ht="13.8" hidden="false" customHeight="true" outlineLevel="0" collapsed="false">
      <c r="A40" s="1" t="s">
        <v>80</v>
      </c>
      <c r="B40" s="72" t="n">
        <f aca="false">H190</f>
        <v>0.338457452522225</v>
      </c>
      <c r="C40" s="72" t="n">
        <v>0.5275</v>
      </c>
      <c r="D40" s="1"/>
      <c r="E40" s="1"/>
      <c r="I40" s="33"/>
      <c r="J40" s="73" t="n">
        <f aca="false">(1/(B40*C40*2.20462))</f>
        <v>2.54061999531686</v>
      </c>
      <c r="L40" s="72"/>
      <c r="M40" s="74" t="n">
        <f aca="false">1.08*J40</f>
        <v>2.74386959494221</v>
      </c>
      <c r="N40" s="1"/>
    </row>
    <row r="41" customFormat="false" ht="12.8" hidden="false" customHeight="true" outlineLevel="0" collapsed="false">
      <c r="A41" s="1" t="s">
        <v>81</v>
      </c>
      <c r="B41" s="72" t="n">
        <f aca="false">H191</f>
        <v>2</v>
      </c>
      <c r="C41" s="80" t="n">
        <v>0.5409</v>
      </c>
      <c r="D41" s="1"/>
      <c r="E41" s="1"/>
      <c r="I41" s="33"/>
      <c r="J41" s="73" t="n">
        <f aca="false">(1/(B41*C41*2.20462))</f>
        <v>0.419294610312109</v>
      </c>
      <c r="L41" s="72"/>
      <c r="M41" s="74" t="n">
        <f aca="false">2*J41</f>
        <v>0.838589220624218</v>
      </c>
      <c r="N41" s="77" t="s">
        <v>146</v>
      </c>
    </row>
    <row r="42" customFormat="false" ht="12.8" hidden="false" customHeight="true" outlineLevel="0" collapsed="false">
      <c r="A42" s="76" t="s">
        <v>82</v>
      </c>
      <c r="B42" s="72" t="n">
        <f aca="false">H192</f>
        <v>0.605843849279514</v>
      </c>
      <c r="C42" s="72" t="n">
        <v>0.37</v>
      </c>
      <c r="D42" s="72" t="n">
        <v>0.11</v>
      </c>
      <c r="E42" s="72" t="n">
        <f aca="false">(B42*D42*$E$108)*I42</f>
        <v>1.67199199096985</v>
      </c>
      <c r="F42" s="72" t="n">
        <f aca="false">E42*1.123</f>
        <v>1.87764700585914</v>
      </c>
      <c r="G42" s="72" t="n">
        <f aca="false">F42/(B42*C42)</f>
        <v>8.3762864696772</v>
      </c>
      <c r="H42" s="72" t="n">
        <f aca="false">G42*0.453692</f>
        <v>3.80025416100079</v>
      </c>
      <c r="I42" s="33" t="n">
        <v>0.943</v>
      </c>
      <c r="J42" s="73" t="n">
        <f aca="false">(1/(B42*C42*2.20462))</f>
        <v>2.02350289388329</v>
      </c>
      <c r="K42" s="72" t="n">
        <f aca="false">$G$68</f>
        <v>0.292</v>
      </c>
      <c r="L42" s="75" t="n">
        <f aca="false">J42*(K42/(1-K42))*I42</f>
        <v>0.786982574644246</v>
      </c>
      <c r="M42" s="74" t="n">
        <f aca="false">(H42+J42+L42)+(0.08*(1-I42)*J42)</f>
        <v>6.61996680272443</v>
      </c>
      <c r="N42" s="1"/>
    </row>
    <row r="43" customFormat="false" ht="12.8" hidden="false" customHeight="true" outlineLevel="0" collapsed="false">
      <c r="A43" s="76" t="s">
        <v>158</v>
      </c>
      <c r="B43" s="72" t="n">
        <f aca="false">H193</f>
        <v>1.92703516375613</v>
      </c>
      <c r="C43" s="72" t="n">
        <v>0.37</v>
      </c>
      <c r="D43" s="72"/>
      <c r="E43" s="72"/>
      <c r="F43" s="72"/>
      <c r="G43" s="72"/>
      <c r="H43" s="72"/>
      <c r="I43" s="33"/>
      <c r="J43" s="73" t="n">
        <f aca="false">(1/(B43*C43*2.20462))</f>
        <v>0.636172502357943</v>
      </c>
      <c r="K43" s="72"/>
      <c r="L43" s="75"/>
      <c r="M43" s="74" t="n">
        <f aca="false">1.08*J43</f>
        <v>0.687066302546578</v>
      </c>
      <c r="N43" s="1"/>
    </row>
    <row r="44" customFormat="false" ht="12.8" hidden="false" customHeight="true" outlineLevel="0" collapsed="false">
      <c r="A44" s="76" t="s">
        <v>84</v>
      </c>
      <c r="B44" s="72" t="n">
        <f aca="false">H194</f>
        <v>0.526479</v>
      </c>
      <c r="C44" s="72" t="n">
        <v>0.37</v>
      </c>
      <c r="D44" s="72" t="n">
        <v>0.11</v>
      </c>
      <c r="E44" s="72" t="n">
        <f aca="false">(B44*D44*$E$108)*I44</f>
        <v>1.54078786652137</v>
      </c>
      <c r="F44" s="72" t="n">
        <f aca="false">E44*1.123</f>
        <v>1.7303047741035</v>
      </c>
      <c r="G44" s="72" t="n">
        <f aca="false">F44/(B44*C44)</f>
        <v>8.88259434748378</v>
      </c>
      <c r="H44" s="72" t="n">
        <f aca="false">G44*0.453692</f>
        <v>4.02996199469861</v>
      </c>
      <c r="I44" s="33" t="n">
        <v>1</v>
      </c>
      <c r="J44" s="73" t="n">
        <f aca="false">(1/(B44*C44*2.20462))</f>
        <v>2.32853880640726</v>
      </c>
      <c r="K44" s="72" t="n">
        <f aca="false">$G$68</f>
        <v>0.292</v>
      </c>
      <c r="L44" s="75" t="n">
        <f aca="false">J44*(K44/(1-K44))*I44</f>
        <v>0.960357812812032</v>
      </c>
      <c r="M44" s="74" t="n">
        <f aca="false">(H44+J44+L44)+(0.08*(1-I44)*J44)</f>
        <v>7.3188586139179</v>
      </c>
      <c r="N44" s="1"/>
    </row>
    <row r="45" customFormat="false" ht="19.4" hidden="false" customHeight="true" outlineLevel="0" collapsed="false">
      <c r="A45" s="76" t="s">
        <v>85</v>
      </c>
      <c r="B45" s="72" t="n">
        <f aca="false">H195</f>
        <v>2.87091290858242</v>
      </c>
      <c r="C45" s="72" t="n">
        <v>0.585</v>
      </c>
      <c r="D45" s="72" t="n">
        <v>0.96</v>
      </c>
      <c r="E45" s="72" t="n">
        <f aca="false">(B45*D45*$E$108)*I45</f>
        <v>64.7472110833906</v>
      </c>
      <c r="F45" s="72" t="n">
        <f aca="false">E45*1.123</f>
        <v>72.7111180466477</v>
      </c>
      <c r="G45" s="72" t="n">
        <f aca="false">F45/(B45*C45)</f>
        <v>43.2937234389397</v>
      </c>
      <c r="H45" s="72" t="n">
        <f aca="false">G45*0.453692</f>
        <v>19.6420159744594</v>
      </c>
      <c r="I45" s="33" t="n">
        <v>0.883</v>
      </c>
      <c r="J45" s="73" t="n">
        <f aca="false">(1/(B45*C45*2.20462))</f>
        <v>0.270078723894358</v>
      </c>
      <c r="K45" s="72" t="n">
        <f aca="false">$G$67</f>
        <v>0.51375</v>
      </c>
      <c r="L45" s="75" t="n">
        <f aca="false">J45*(K45/(1-K45))*I45</f>
        <v>0.251966786438748</v>
      </c>
      <c r="M45" s="74" t="n">
        <f aca="false">(H45+J45+L45)+(0.08*(1-I45)*J45)</f>
        <v>20.1665894216482</v>
      </c>
      <c r="N45" s="1"/>
    </row>
    <row r="46" customFormat="false" ht="19.4" hidden="false" customHeight="true" outlineLevel="0" collapsed="false">
      <c r="A46" s="76" t="s">
        <v>159</v>
      </c>
      <c r="B46" s="72" t="n">
        <f aca="false">H196</f>
        <v>4.88425350213499</v>
      </c>
      <c r="C46" s="72" t="n">
        <v>0.585</v>
      </c>
      <c r="D46" s="72"/>
      <c r="E46" s="72"/>
      <c r="F46" s="72"/>
      <c r="G46" s="72"/>
      <c r="H46" s="72"/>
      <c r="I46" s="33"/>
      <c r="J46" s="73" t="n">
        <f aca="false">(1/(B46*C46*2.20462))</f>
        <v>0.158749437231882</v>
      </c>
      <c r="K46" s="72"/>
      <c r="L46" s="75"/>
      <c r="M46" s="74" t="n">
        <f aca="false">1.08*J46</f>
        <v>0.171449392210432</v>
      </c>
      <c r="N46" s="1"/>
    </row>
    <row r="47" customFormat="false" ht="19.4" hidden="false" customHeight="true" outlineLevel="0" collapsed="false">
      <c r="A47" s="76" t="s">
        <v>87</v>
      </c>
      <c r="B47" s="72" t="n">
        <f aca="false">H197</f>
        <v>2.605</v>
      </c>
      <c r="C47" s="72" t="n">
        <v>0.585</v>
      </c>
      <c r="D47" s="72" t="n">
        <v>0.96</v>
      </c>
      <c r="E47" s="72" t="n">
        <f aca="false">(B47*D47*$E$108)*I47</f>
        <v>66.5346799914948</v>
      </c>
      <c r="F47" s="72" t="n">
        <f aca="false">E47*1.123</f>
        <v>74.7184456304486</v>
      </c>
      <c r="G47" s="72" t="n">
        <f aca="false">F47/(B47*C47)</f>
        <v>49.0302643702601</v>
      </c>
      <c r="H47" s="72" t="n">
        <f aca="false">G47*0.453692</f>
        <v>22.2446387026721</v>
      </c>
      <c r="I47" s="33" t="n">
        <v>1</v>
      </c>
      <c r="J47" s="73" t="n">
        <f aca="false">(1/(B47*C47*2.20462))</f>
        <v>0.2976477906955</v>
      </c>
      <c r="K47" s="72" t="n">
        <f aca="false">$G$67</f>
        <v>0.51375</v>
      </c>
      <c r="L47" s="75" t="n">
        <f aca="false">J47*(K47/(1-K47))*I47</f>
        <v>0.314481341840233</v>
      </c>
      <c r="M47" s="74" t="n">
        <f aca="false">(H47+J47+L47)+(0.08*(1-I47)*J47)</f>
        <v>22.8567678352078</v>
      </c>
      <c r="N47" s="74"/>
    </row>
    <row r="48" customFormat="false" ht="12.8" hidden="false" customHeight="true" outlineLevel="0" collapsed="false">
      <c r="A48" s="1" t="s">
        <v>88</v>
      </c>
      <c r="B48" s="72" t="n">
        <f aca="false">H198</f>
        <v>18.56</v>
      </c>
      <c r="C48" s="72" t="n">
        <v>0.6174</v>
      </c>
      <c r="D48" s="1"/>
      <c r="E48" s="1"/>
      <c r="I48" s="33"/>
      <c r="J48" s="73" t="n">
        <f aca="false">(1/(B48*C48*2.20462))</f>
        <v>0.0395841806571042</v>
      </c>
      <c r="L48" s="72"/>
      <c r="M48" s="74" t="n">
        <f aca="false">1.08*J48</f>
        <v>0.0427509151096725</v>
      </c>
      <c r="N48" s="1"/>
    </row>
    <row r="49" customFormat="false" ht="12.8" hidden="false" customHeight="true" outlineLevel="0" collapsed="false">
      <c r="A49" s="1" t="s">
        <v>89</v>
      </c>
      <c r="B49" s="72" t="n">
        <f aca="false">H199</f>
        <v>133.976404228721</v>
      </c>
      <c r="C49" s="72" t="n">
        <v>0.6174</v>
      </c>
      <c r="D49" s="1"/>
      <c r="E49" s="1"/>
      <c r="I49" s="33"/>
      <c r="J49" s="73" t="n">
        <f aca="false">(1/(B49*C49*2.20462))</f>
        <v>0.00548367003298299</v>
      </c>
      <c r="L49" s="72"/>
      <c r="M49" s="74" t="n">
        <f aca="false">1.08*J49</f>
        <v>0.00592236363562163</v>
      </c>
      <c r="N49" s="1"/>
    </row>
    <row r="50" customFormat="false" ht="59.7" hidden="false" customHeight="true" outlineLevel="0" collapsed="false">
      <c r="B50" s="4" t="s">
        <v>160</v>
      </c>
      <c r="C50" s="4" t="s">
        <v>161</v>
      </c>
      <c r="D50" s="4" t="s">
        <v>162</v>
      </c>
      <c r="E50" s="4" t="s">
        <v>163</v>
      </c>
      <c r="F50" s="4" t="s">
        <v>164</v>
      </c>
      <c r="G50" s="4" t="s">
        <v>165</v>
      </c>
      <c r="H50" s="4" t="s">
        <v>166</v>
      </c>
      <c r="I50" s="66"/>
      <c r="J50" s="81" t="s">
        <v>167</v>
      </c>
      <c r="K50" s="81" t="s">
        <v>140</v>
      </c>
      <c r="L50" s="4" t="s">
        <v>168</v>
      </c>
      <c r="M50" s="4" t="s">
        <v>169</v>
      </c>
      <c r="N50" s="6" t="s">
        <v>170</v>
      </c>
    </row>
    <row r="51" customFormat="false" ht="46.25" hidden="false" customHeight="true" outlineLevel="0" collapsed="false">
      <c r="C51" s="1"/>
      <c r="D51" s="1"/>
      <c r="E51" s="1"/>
      <c r="J51" s="81"/>
      <c r="K51" s="81"/>
      <c r="L51" s="81"/>
      <c r="M51" s="74"/>
      <c r="N51" s="1"/>
    </row>
    <row r="52" customFormat="false" ht="12.8" hidden="false" customHeight="true" outlineLevel="0" collapsed="false">
      <c r="C52" s="1"/>
      <c r="D52" s="1"/>
      <c r="E52" s="1"/>
      <c r="L52" s="1"/>
      <c r="M52" s="74"/>
      <c r="N52" s="1"/>
    </row>
    <row r="53" customFormat="false" ht="12.8" hidden="false" customHeight="true" outlineLevel="0" collapsed="false">
      <c r="B53" s="82" t="s">
        <v>171</v>
      </c>
      <c r="C53" s="83" t="s">
        <v>172</v>
      </c>
      <c r="D53" s="83"/>
      <c r="E53" s="83"/>
      <c r="F53" s="83"/>
      <c r="L53" s="1"/>
      <c r="M53" s="74"/>
      <c r="N53" s="1"/>
    </row>
    <row r="54" customFormat="false" ht="43.25" hidden="false" customHeight="true" outlineLevel="0" collapsed="false">
      <c r="B54" s="84" t="s">
        <v>173</v>
      </c>
      <c r="C54" s="85" t="s">
        <v>174</v>
      </c>
      <c r="D54" s="85" t="s">
        <v>175</v>
      </c>
      <c r="E54" s="85" t="s">
        <v>176</v>
      </c>
      <c r="F54" s="4" t="s">
        <v>177</v>
      </c>
      <c r="G54" s="4" t="s">
        <v>140</v>
      </c>
      <c r="L54" s="1"/>
      <c r="M54" s="74"/>
      <c r="N54" s="1"/>
    </row>
    <row r="55" customFormat="false" ht="12.8" hidden="false" customHeight="true" outlineLevel="0" collapsed="false">
      <c r="B55" s="86" t="s">
        <v>178</v>
      </c>
      <c r="C55" s="87" t="n">
        <v>8</v>
      </c>
      <c r="D55" s="87" t="n">
        <f aca="false">C55*30.42</f>
        <v>243.36</v>
      </c>
      <c r="E55" s="88" t="n">
        <v>0.2925</v>
      </c>
      <c r="F55" s="89"/>
      <c r="G55" s="75"/>
      <c r="L55" s="1"/>
      <c r="M55" s="74"/>
      <c r="N55" s="1"/>
    </row>
    <row r="56" customFormat="false" ht="12.8" hidden="false" customHeight="true" outlineLevel="0" collapsed="false">
      <c r="B56" s="86" t="s">
        <v>179</v>
      </c>
      <c r="C56" s="87" t="n">
        <v>5.5</v>
      </c>
      <c r="D56" s="87" t="n">
        <f aca="false">C56*30.42</f>
        <v>167.31</v>
      </c>
      <c r="E56" s="88" t="n">
        <v>0.4035</v>
      </c>
      <c r="F56" s="89" t="n">
        <f aca="false">(D55+D56)/2</f>
        <v>205.335</v>
      </c>
      <c r="G56" s="75" t="n">
        <f aca="false">(SUM(E55:E56)/2)/1-(SUM(E55:E56/2))</f>
        <v>0.14625</v>
      </c>
      <c r="H56" s="1" t="s">
        <v>180</v>
      </c>
      <c r="L56" s="1"/>
      <c r="M56" s="74"/>
      <c r="N56" s="1"/>
    </row>
    <row r="57" customFormat="false" ht="21.85" hidden="false" customHeight="true" outlineLevel="0" collapsed="false">
      <c r="B57" s="90" t="s">
        <v>181</v>
      </c>
      <c r="C57" s="87" t="n">
        <v>13</v>
      </c>
      <c r="D57" s="87" t="n">
        <f aca="false">C57*30.42</f>
        <v>395.46</v>
      </c>
      <c r="E57" s="88" t="n">
        <v>0.5125</v>
      </c>
      <c r="F57" s="89"/>
      <c r="G57" s="75"/>
      <c r="L57" s="1"/>
      <c r="M57" s="74"/>
      <c r="N57" s="1"/>
    </row>
    <row r="58" customFormat="false" ht="12.8" hidden="false" customHeight="true" outlineLevel="0" collapsed="false">
      <c r="B58" s="86" t="s">
        <v>182</v>
      </c>
      <c r="C58" s="87" t="n">
        <v>12</v>
      </c>
      <c r="D58" s="87" t="n">
        <f aca="false">C58*30.42</f>
        <v>365.04</v>
      </c>
      <c r="E58" s="88" t="n">
        <v>0.502</v>
      </c>
      <c r="F58" s="89"/>
      <c r="G58" s="75"/>
      <c r="L58" s="1"/>
      <c r="M58" s="74"/>
      <c r="N58" s="1"/>
    </row>
    <row r="59" customFormat="false" ht="12.8" hidden="false" customHeight="true" outlineLevel="0" collapsed="false">
      <c r="B59" s="86" t="s">
        <v>183</v>
      </c>
      <c r="C59" s="87" t="n">
        <v>12</v>
      </c>
      <c r="D59" s="87" t="n">
        <f aca="false">C59*30.42</f>
        <v>365.04</v>
      </c>
      <c r="E59" s="88" t="n">
        <v>0.455</v>
      </c>
      <c r="F59" s="89"/>
      <c r="G59" s="75"/>
      <c r="L59" s="1"/>
      <c r="M59" s="74"/>
      <c r="N59" s="1"/>
    </row>
    <row r="60" customFormat="false" ht="12.8" hidden="false" customHeight="true" outlineLevel="0" collapsed="false">
      <c r="B60" s="86" t="s">
        <v>184</v>
      </c>
      <c r="C60" s="87" t="n">
        <v>18</v>
      </c>
      <c r="D60" s="87" t="n">
        <f aca="false">C60*30.42</f>
        <v>547.56</v>
      </c>
      <c r="E60" s="88" t="n">
        <v>0.477</v>
      </c>
      <c r="F60" s="75"/>
      <c r="G60" s="75"/>
      <c r="L60" s="1"/>
      <c r="M60" s="74"/>
      <c r="N60" s="1"/>
    </row>
    <row r="61" customFormat="false" ht="12.8" hidden="false" customHeight="true" outlineLevel="0" collapsed="false">
      <c r="B61" s="86" t="s">
        <v>185</v>
      </c>
      <c r="C61" s="87" t="n">
        <v>14</v>
      </c>
      <c r="D61" s="87" t="n">
        <f aca="false">C61*30.42</f>
        <v>425.88</v>
      </c>
      <c r="E61" s="88" t="n">
        <v>0.428</v>
      </c>
      <c r="F61" s="75" t="n">
        <f aca="false">SUM(D55:D61)/7</f>
        <v>358.521428571429</v>
      </c>
      <c r="G61" s="75" t="n">
        <f aca="false">SUM(E55:E61)/7</f>
        <v>0.438642857142857</v>
      </c>
      <c r="H61" s="1" t="s">
        <v>186</v>
      </c>
      <c r="L61" s="1"/>
      <c r="M61" s="74"/>
      <c r="N61" s="1"/>
    </row>
    <row r="62" customFormat="false" ht="22.35" hidden="false" customHeight="true" outlineLevel="0" collapsed="false">
      <c r="B62" s="90" t="s">
        <v>187</v>
      </c>
      <c r="C62" s="87" t="n">
        <v>8</v>
      </c>
      <c r="D62" s="87" t="n">
        <f aca="false">C62*30.42</f>
        <v>243.36</v>
      </c>
      <c r="E62" s="88" t="n">
        <v>0.43625</v>
      </c>
      <c r="F62" s="89"/>
      <c r="G62" s="75"/>
      <c r="L62" s="1"/>
      <c r="M62" s="74"/>
      <c r="N62" s="1"/>
    </row>
    <row r="63" customFormat="false" ht="12.8" hidden="false" customHeight="true" outlineLevel="0" collapsed="false">
      <c r="B63" s="86" t="s">
        <v>188</v>
      </c>
      <c r="C63" s="87" t="n">
        <v>9</v>
      </c>
      <c r="D63" s="87" t="n">
        <f aca="false">C63*30.42</f>
        <v>273.78</v>
      </c>
      <c r="E63" s="88" t="n">
        <v>0.505</v>
      </c>
      <c r="F63" s="89"/>
      <c r="G63" s="75"/>
      <c r="L63" s="1"/>
      <c r="M63" s="74"/>
      <c r="N63" s="1"/>
    </row>
    <row r="64" customFormat="false" ht="12.8" hidden="false" customHeight="true" outlineLevel="0" collapsed="false">
      <c r="B64" s="86" t="s">
        <v>189</v>
      </c>
      <c r="C64" s="87" t="n">
        <v>20</v>
      </c>
      <c r="D64" s="87" t="n">
        <f aca="false">C64*30.42</f>
        <v>608.4</v>
      </c>
      <c r="E64" s="88" t="n">
        <v>0.515</v>
      </c>
      <c r="F64" s="91" t="n">
        <f aca="false">SUM(D62:D64)/3</f>
        <v>375.18</v>
      </c>
      <c r="G64" s="75" t="n">
        <f aca="false">SUM(E62:E64)/3</f>
        <v>0.485416666666667</v>
      </c>
      <c r="H64" s="1" t="s">
        <v>190</v>
      </c>
      <c r="L64" s="1"/>
      <c r="M64" s="74"/>
      <c r="N64" s="1"/>
    </row>
    <row r="65" customFormat="false" ht="12.8" hidden="false" customHeight="true" outlineLevel="0" collapsed="false">
      <c r="B65" s="86" t="s">
        <v>191</v>
      </c>
      <c r="C65" s="87" t="n">
        <v>27</v>
      </c>
      <c r="D65" s="87" t="n">
        <f aca="false">C65*30.42</f>
        <v>821.34</v>
      </c>
      <c r="E65" s="88" t="n">
        <v>0.25375</v>
      </c>
      <c r="F65" s="89"/>
      <c r="G65" s="75"/>
      <c r="L65" s="1"/>
      <c r="M65" s="74"/>
      <c r="N65" s="1"/>
    </row>
    <row r="66" customFormat="false" ht="12.8" hidden="false" customHeight="true" outlineLevel="0" collapsed="false">
      <c r="B66" s="86" t="s">
        <v>192</v>
      </c>
      <c r="C66" s="87" t="n">
        <v>23</v>
      </c>
      <c r="D66" s="87" t="n">
        <f aca="false">C66*30.42</f>
        <v>699.66</v>
      </c>
      <c r="E66" s="88" t="n">
        <v>0.1875</v>
      </c>
      <c r="F66" s="89" t="n">
        <f aca="false">SUM(D65+D66)/2</f>
        <v>760.5</v>
      </c>
      <c r="G66" s="75" t="n">
        <f aca="false">SUM(E65:E66)/2</f>
        <v>0.220625</v>
      </c>
      <c r="H66" s="1" t="s">
        <v>193</v>
      </c>
      <c r="L66" s="1"/>
      <c r="M66" s="74"/>
      <c r="N66" s="1"/>
    </row>
    <row r="67" customFormat="false" ht="12.8" hidden="false" customHeight="true" outlineLevel="0" collapsed="false">
      <c r="B67" s="86" t="s">
        <v>194</v>
      </c>
      <c r="C67" s="87" t="n">
        <v>14.5</v>
      </c>
      <c r="D67" s="87" t="n">
        <f aca="false">C67*30.42</f>
        <v>441.09</v>
      </c>
      <c r="E67" s="88" t="n">
        <v>0.51375</v>
      </c>
      <c r="F67" s="89" t="n">
        <f aca="false">D67</f>
        <v>441.09</v>
      </c>
      <c r="G67" s="75" t="n">
        <f aca="false">E67</f>
        <v>0.51375</v>
      </c>
      <c r="H67" s="1" t="s">
        <v>195</v>
      </c>
      <c r="L67" s="1"/>
      <c r="M67" s="74"/>
      <c r="N67" s="1"/>
    </row>
    <row r="68" customFormat="false" ht="12.8" hidden="false" customHeight="true" outlineLevel="0" collapsed="false">
      <c r="B68" s="86" t="s">
        <v>196</v>
      </c>
      <c r="C68" s="87" t="n">
        <v>8</v>
      </c>
      <c r="D68" s="87" t="n">
        <f aca="false">C68*30.42</f>
        <v>243.36</v>
      </c>
      <c r="E68" s="88" t="n">
        <v>0.292</v>
      </c>
      <c r="F68" s="89" t="n">
        <f aca="false">D68</f>
        <v>243.36</v>
      </c>
      <c r="G68" s="75" t="n">
        <f aca="false">E68</f>
        <v>0.292</v>
      </c>
      <c r="H68" s="1" t="s">
        <v>197</v>
      </c>
      <c r="L68" s="1"/>
      <c r="M68" s="74"/>
      <c r="N68" s="1"/>
    </row>
    <row r="69" customFormat="false" ht="12.8" hidden="false" customHeight="true" outlineLevel="0" collapsed="false">
      <c r="B69" s="86" t="s">
        <v>198</v>
      </c>
      <c r="C69" s="87" t="n">
        <v>30</v>
      </c>
      <c r="D69" s="87" t="n">
        <f aca="false">C69*30.42</f>
        <v>912.6</v>
      </c>
      <c r="E69" s="88" t="n">
        <v>0.35</v>
      </c>
      <c r="F69" s="75"/>
      <c r="G69" s="89"/>
      <c r="H69" s="75"/>
      <c r="I69" s="75"/>
      <c r="L69" s="75"/>
      <c r="M69" s="74"/>
      <c r="N69" s="1"/>
    </row>
    <row r="70" customFormat="false" ht="12.8" hidden="false" customHeight="true" outlineLevel="0" collapsed="false">
      <c r="B70" s="86" t="s">
        <v>199</v>
      </c>
      <c r="C70" s="87" t="n">
        <v>30</v>
      </c>
      <c r="D70" s="87" t="n">
        <f aca="false">C70*30.42</f>
        <v>912.6</v>
      </c>
      <c r="E70" s="88" t="n">
        <v>0.532</v>
      </c>
      <c r="F70" s="75"/>
      <c r="G70" s="89"/>
      <c r="H70" s="75"/>
      <c r="I70" s="75"/>
      <c r="L70" s="75"/>
      <c r="M70" s="74"/>
      <c r="N70" s="1"/>
    </row>
    <row r="71" customFormat="false" ht="12.8" hidden="false" customHeight="true" outlineLevel="0" collapsed="false">
      <c r="B71" s="86" t="s">
        <v>200</v>
      </c>
      <c r="C71" s="87" t="n">
        <v>20</v>
      </c>
      <c r="D71" s="87" t="n">
        <f aca="false">C71*30.42</f>
        <v>608.4</v>
      </c>
      <c r="E71" s="88" t="n">
        <v>0.35</v>
      </c>
      <c r="F71" s="75"/>
      <c r="G71" s="75" t="n">
        <f aca="false">SUM(E70:E71)/2</f>
        <v>0.441</v>
      </c>
      <c r="H71" s="75" t="s">
        <v>201</v>
      </c>
      <c r="I71" s="75"/>
      <c r="L71" s="75"/>
      <c r="M71" s="74"/>
      <c r="N71" s="1"/>
    </row>
    <row r="72" customFormat="false" ht="12.8" hidden="false" customHeight="true" outlineLevel="0" collapsed="false">
      <c r="B72" s="86" t="s">
        <v>202</v>
      </c>
      <c r="C72" s="87" t="n">
        <v>16.5</v>
      </c>
      <c r="D72" s="87" t="n">
        <f aca="false">C72*30.42</f>
        <v>501.93</v>
      </c>
      <c r="E72" s="88" t="n">
        <v>0.455</v>
      </c>
      <c r="F72" s="75"/>
      <c r="G72" s="89"/>
      <c r="H72" s="75"/>
      <c r="I72" s="75"/>
      <c r="L72" s="75"/>
      <c r="M72" s="74"/>
      <c r="N72" s="1"/>
    </row>
    <row r="73" customFormat="false" ht="12.8" hidden="false" customHeight="true" outlineLevel="0" collapsed="false">
      <c r="B73" s="86" t="s">
        <v>203</v>
      </c>
      <c r="C73" s="87" t="n">
        <v>10</v>
      </c>
      <c r="D73" s="87" t="n">
        <f aca="false">C73*30.42</f>
        <v>304.2</v>
      </c>
      <c r="E73" s="88" t="n">
        <v>0.4675</v>
      </c>
      <c r="F73" s="75"/>
      <c r="G73" s="89"/>
      <c r="H73" s="75"/>
      <c r="I73" s="75"/>
      <c r="L73" s="75"/>
      <c r="M73" s="74"/>
      <c r="N73" s="1"/>
    </row>
    <row r="74" customFormat="false" ht="12.8" hidden="false" customHeight="true" outlineLevel="0" collapsed="false">
      <c r="B74" s="86" t="s">
        <v>204</v>
      </c>
      <c r="C74" s="87" t="n">
        <v>24.5</v>
      </c>
      <c r="D74" s="87" t="n">
        <f aca="false">C74*30.42</f>
        <v>745.29</v>
      </c>
      <c r="E74" s="88" t="n">
        <v>0.8275</v>
      </c>
      <c r="F74" s="75"/>
      <c r="G74" s="89"/>
      <c r="H74" s="75"/>
      <c r="I74" s="75"/>
      <c r="L74" s="75"/>
      <c r="M74" s="74"/>
      <c r="N74" s="1"/>
    </row>
    <row r="75" customFormat="false" ht="12.8" hidden="false" customHeight="true" outlineLevel="0" collapsed="false">
      <c r="B75" s="86" t="s">
        <v>205</v>
      </c>
      <c r="C75" s="87" t="n">
        <v>16</v>
      </c>
      <c r="D75" s="87" t="n">
        <f aca="false">C75*30.42</f>
        <v>486.72</v>
      </c>
      <c r="E75" s="88" t="n">
        <v>0.259</v>
      </c>
      <c r="F75" s="75"/>
      <c r="G75" s="89"/>
      <c r="H75" s="75"/>
      <c r="I75" s="75"/>
      <c r="L75" s="75"/>
      <c r="M75" s="74"/>
      <c r="N75" s="1"/>
    </row>
    <row r="76" customFormat="false" ht="12.8" hidden="false" customHeight="true" outlineLevel="0" collapsed="false">
      <c r="B76" s="86" t="s">
        <v>206</v>
      </c>
      <c r="C76" s="87" t="n">
        <v>7</v>
      </c>
      <c r="D76" s="87" t="n">
        <f aca="false">C76*30.42</f>
        <v>212.94</v>
      </c>
      <c r="E76" s="88" t="n">
        <v>0.26875</v>
      </c>
      <c r="F76" s="75"/>
      <c r="G76" s="89"/>
      <c r="H76" s="75"/>
      <c r="I76" s="75"/>
      <c r="L76" s="75"/>
      <c r="M76" s="74"/>
      <c r="N76" s="1"/>
    </row>
    <row r="77" customFormat="false" ht="12.8" hidden="false" customHeight="true" outlineLevel="0" collapsed="false">
      <c r="B77" s="86" t="s">
        <v>207</v>
      </c>
      <c r="C77" s="87" t="n">
        <v>12</v>
      </c>
      <c r="D77" s="87" t="n">
        <f aca="false">C77*30.42</f>
        <v>365.04</v>
      </c>
      <c r="E77" s="88" t="n">
        <v>0.175</v>
      </c>
      <c r="F77" s="75"/>
      <c r="G77" s="89"/>
      <c r="H77" s="75"/>
      <c r="I77" s="75"/>
      <c r="L77" s="75"/>
      <c r="M77" s="74"/>
      <c r="N77" s="1"/>
    </row>
    <row r="78" customFormat="false" ht="12.8" hidden="false" customHeight="true" outlineLevel="0" collapsed="false">
      <c r="B78" s="86" t="s">
        <v>208</v>
      </c>
      <c r="C78" s="87" t="n">
        <v>26</v>
      </c>
      <c r="D78" s="87" t="n">
        <f aca="false">C78*30.42</f>
        <v>790.92</v>
      </c>
      <c r="E78" s="88" t="n">
        <v>0.385</v>
      </c>
      <c r="F78" s="75"/>
      <c r="G78" s="89"/>
      <c r="H78" s="75"/>
      <c r="I78" s="75"/>
      <c r="L78" s="75"/>
      <c r="M78" s="74"/>
      <c r="N78" s="1"/>
    </row>
    <row r="79" customFormat="false" ht="12.8" hidden="false" customHeight="true" outlineLevel="0" collapsed="false">
      <c r="B79" s="86" t="s">
        <v>209</v>
      </c>
      <c r="C79" s="87" t="n">
        <v>33.5</v>
      </c>
      <c r="D79" s="87" t="n">
        <f aca="false">C79*30.42</f>
        <v>1019.07</v>
      </c>
      <c r="E79" s="88" t="n">
        <v>0.635</v>
      </c>
      <c r="F79" s="75"/>
      <c r="G79" s="89"/>
      <c r="H79" s="75"/>
      <c r="I79" s="75"/>
      <c r="L79" s="75"/>
      <c r="M79" s="74"/>
      <c r="N79" s="1"/>
    </row>
    <row r="80" customFormat="false" ht="12.8" hidden="false" customHeight="true" outlineLevel="0" collapsed="false">
      <c r="B80" s="86" t="s">
        <v>210</v>
      </c>
      <c r="C80" s="87" t="n">
        <v>3.5</v>
      </c>
      <c r="D80" s="87" t="n">
        <f aca="false">C80*30.42</f>
        <v>106.47</v>
      </c>
      <c r="E80" s="88" t="n">
        <v>0.28975</v>
      </c>
      <c r="F80" s="75"/>
      <c r="G80" s="89"/>
      <c r="H80" s="75"/>
      <c r="I80" s="75"/>
      <c r="L80" s="75"/>
      <c r="M80" s="73"/>
      <c r="N80" s="1"/>
    </row>
    <row r="81" customFormat="false" ht="12.8" hidden="false" customHeight="true" outlineLevel="0" collapsed="false">
      <c r="B81" s="86" t="s">
        <v>211</v>
      </c>
      <c r="C81" s="87" t="n">
        <v>19</v>
      </c>
      <c r="D81" s="87" t="n">
        <f aca="false">C81*30.42</f>
        <v>577.98</v>
      </c>
      <c r="E81" s="88" t="n">
        <v>0.1099</v>
      </c>
      <c r="F81" s="75"/>
      <c r="G81" s="89"/>
      <c r="H81" s="75"/>
      <c r="I81" s="75"/>
      <c r="L81" s="75"/>
      <c r="M81" s="74"/>
      <c r="N81" s="1"/>
    </row>
    <row r="82" customFormat="false" ht="12.8" hidden="false" customHeight="true" outlineLevel="0" collapsed="false">
      <c r="B82" s="86" t="s">
        <v>212</v>
      </c>
      <c r="C82" s="87" t="n">
        <v>15</v>
      </c>
      <c r="D82" s="87" t="n">
        <f aca="false">C82*30.42</f>
        <v>456.3</v>
      </c>
      <c r="E82" s="88" t="n">
        <v>0.75825</v>
      </c>
      <c r="F82" s="75"/>
      <c r="G82" s="89"/>
      <c r="H82" s="75"/>
      <c r="I82" s="75"/>
      <c r="L82" s="75"/>
      <c r="M82" s="74"/>
      <c r="N82" s="1"/>
    </row>
    <row r="83" customFormat="false" ht="38.8" hidden="false" customHeight="true" outlineLevel="0" collapsed="false">
      <c r="B83" s="1" t="s">
        <v>213</v>
      </c>
      <c r="C83" s="1" t="n">
        <v>5</v>
      </c>
      <c r="D83" s="1" t="n">
        <f aca="false">C83*30.42</f>
        <v>152.1</v>
      </c>
      <c r="E83" s="1" t="n">
        <v>0.4725</v>
      </c>
      <c r="F83" s="1" t="n">
        <f aca="false">D83</f>
        <v>152.1</v>
      </c>
      <c r="G83" s="1" t="n">
        <f aca="false">E83</f>
        <v>0.4725</v>
      </c>
      <c r="H83" s="4" t="s">
        <v>214</v>
      </c>
      <c r="I83" s="4"/>
      <c r="L83" s="4"/>
      <c r="M83" s="74"/>
      <c r="N83" s="1"/>
    </row>
    <row r="84" customFormat="false" ht="27.6" hidden="false" customHeight="true" outlineLevel="0" collapsed="false">
      <c r="B84" s="4" t="s">
        <v>215</v>
      </c>
      <c r="C84" s="89" t="n">
        <f aca="false">D84/30.42</f>
        <v>4.92570677186062</v>
      </c>
      <c r="D84" s="1" t="n">
        <v>149.84</v>
      </c>
      <c r="E84" s="1" t="n">
        <v>0.3</v>
      </c>
      <c r="F84" s="1" t="n">
        <v>150</v>
      </c>
      <c r="G84" s="1" t="n">
        <v>0.234</v>
      </c>
      <c r="H84" s="4" t="s">
        <v>216</v>
      </c>
      <c r="I84" s="4"/>
      <c r="L84" s="1"/>
      <c r="M84" s="74"/>
      <c r="N84" s="1"/>
    </row>
    <row r="85" customFormat="false" ht="12.8" hidden="false" customHeight="true" outlineLevel="0" collapsed="false">
      <c r="B85" s="1" t="s">
        <v>217</v>
      </c>
      <c r="C85" s="1" t="n">
        <f aca="false">1/30.42</f>
        <v>0.0328731097961867</v>
      </c>
      <c r="D85" s="1" t="n">
        <v>1</v>
      </c>
      <c r="E85" s="1"/>
      <c r="F85" s="1" t="n">
        <v>1</v>
      </c>
      <c r="L85" s="1"/>
      <c r="M85" s="4"/>
      <c r="N85" s="1"/>
    </row>
    <row r="86" customFormat="false" ht="12.8" hidden="false" customHeight="true" outlineLevel="0" collapsed="false">
      <c r="C86" s="1"/>
      <c r="D86" s="1"/>
      <c r="E86" s="1"/>
      <c r="L86" s="1"/>
      <c r="M86" s="74"/>
      <c r="N86" s="1"/>
    </row>
    <row r="87" customFormat="false" ht="34.8" hidden="false" customHeight="true" outlineLevel="0" collapsed="false">
      <c r="A87" s="92" t="s">
        <v>218</v>
      </c>
      <c r="B87" s="93" t="s">
        <v>219</v>
      </c>
      <c r="C87" s="93"/>
      <c r="D87" s="93"/>
      <c r="E87" s="93"/>
      <c r="F87" s="93"/>
      <c r="G87" s="93"/>
      <c r="H87" s="93"/>
      <c r="I87" s="93"/>
      <c r="J87" s="93"/>
      <c r="K87" s="94"/>
      <c r="L87" s="1"/>
      <c r="M87" s="74"/>
      <c r="N87" s="1"/>
    </row>
    <row r="88" customFormat="false" ht="12.8" hidden="false" customHeight="true" outlineLevel="0" collapsed="false">
      <c r="A88" s="95" t="s">
        <v>220</v>
      </c>
      <c r="B88" s="1" t="n">
        <f aca="false">E100/1000</f>
        <v>0.961686133486766</v>
      </c>
      <c r="C88" s="1"/>
      <c r="D88" s="1"/>
      <c r="E88" s="1"/>
      <c r="K88" s="94"/>
      <c r="L88" s="1"/>
      <c r="M88" s="74"/>
      <c r="N88" s="1"/>
    </row>
    <row r="89" customFormat="false" ht="23.85" hidden="false" customHeight="true" outlineLevel="0" collapsed="false">
      <c r="A89" s="95" t="s">
        <v>120</v>
      </c>
      <c r="B89" s="1" t="n">
        <v>0.557792207792208</v>
      </c>
      <c r="C89" s="1"/>
      <c r="D89" s="1"/>
      <c r="E89" s="1"/>
      <c r="K89" s="94"/>
      <c r="L89" s="1"/>
      <c r="M89" s="74"/>
      <c r="N89" s="1"/>
    </row>
    <row r="90" customFormat="false" ht="23.85" hidden="false" customHeight="true" outlineLevel="0" collapsed="false">
      <c r="A90" s="96" t="s">
        <v>122</v>
      </c>
      <c r="B90" s="1" t="n">
        <f aca="false">B88*B89</f>
        <v>0.536421031600735</v>
      </c>
      <c r="C90" s="1"/>
      <c r="D90" s="1"/>
      <c r="E90" s="1"/>
      <c r="K90" s="94"/>
      <c r="L90" s="1"/>
      <c r="M90" s="74"/>
      <c r="N90" s="1"/>
    </row>
    <row r="91" customFormat="false" ht="35.05" hidden="false" customHeight="true" outlineLevel="0" collapsed="false">
      <c r="A91" s="96" t="s">
        <v>221</v>
      </c>
      <c r="B91" s="1" t="n">
        <f aca="false">(B88*B89)/(1+H100+J100)</f>
        <v>0.0452620299483029</v>
      </c>
      <c r="C91" s="1"/>
      <c r="D91" s="1"/>
      <c r="E91" s="1"/>
      <c r="K91" s="94"/>
      <c r="L91" s="1"/>
      <c r="M91" s="74"/>
      <c r="N91" s="1"/>
    </row>
    <row r="92" customFormat="false" ht="23.85" hidden="false" customHeight="true" outlineLevel="0" collapsed="false">
      <c r="A92" s="96" t="s">
        <v>125</v>
      </c>
      <c r="B92" s="1" t="n">
        <f aca="false">(1/B90)</f>
        <v>1.86420729443791</v>
      </c>
      <c r="C92" s="97" t="s">
        <v>222</v>
      </c>
      <c r="D92" s="98" t="n">
        <f aca="false">B92/2.205</f>
        <v>0.845445485005855</v>
      </c>
      <c r="E92" s="97"/>
      <c r="F92" s="98"/>
      <c r="K92" s="94"/>
      <c r="L92" s="1"/>
      <c r="M92" s="74"/>
      <c r="N92" s="1"/>
    </row>
    <row r="93" customFormat="false" ht="46.25" hidden="false" customHeight="true" outlineLevel="0" collapsed="false">
      <c r="A93" s="96" t="s">
        <v>223</v>
      </c>
      <c r="B93" s="1" t="n">
        <f aca="false">(1/B91)</f>
        <v>22.0935738220794</v>
      </c>
      <c r="C93" s="4" t="s">
        <v>224</v>
      </c>
      <c r="D93" s="98" t="n">
        <f aca="false">B93/2.205</f>
        <v>10.0197613705576</v>
      </c>
      <c r="E93" s="97"/>
      <c r="F93" s="98"/>
      <c r="K93" s="94"/>
      <c r="L93" s="1"/>
      <c r="M93" s="74"/>
      <c r="N93" s="1"/>
    </row>
    <row r="94" customFormat="false" ht="35.05" hidden="false" customHeight="true" outlineLevel="0" collapsed="false">
      <c r="A94" s="99" t="s">
        <v>225</v>
      </c>
      <c r="B94" s="100" t="s">
        <v>226</v>
      </c>
      <c r="C94" s="101" t="s">
        <v>227</v>
      </c>
      <c r="D94" s="101" t="s">
        <v>228</v>
      </c>
      <c r="E94" s="101" t="s">
        <v>229</v>
      </c>
      <c r="F94" s="101" t="s">
        <v>230</v>
      </c>
      <c r="G94" s="101" t="s">
        <v>231</v>
      </c>
      <c r="H94" s="102" t="s">
        <v>232</v>
      </c>
      <c r="I94" s="102"/>
      <c r="J94" s="102" t="s">
        <v>233</v>
      </c>
      <c r="K94" s="94"/>
      <c r="L94" s="1"/>
      <c r="M94" s="74" t="n">
        <f aca="false">(B92+B93)/2.20462</f>
        <v>10.8670796402633</v>
      </c>
      <c r="N94" s="1"/>
    </row>
    <row r="95" customFormat="false" ht="12.8" hidden="false" customHeight="true" outlineLevel="0" collapsed="false">
      <c r="A95" s="103" t="s">
        <v>197</v>
      </c>
      <c r="B95" s="104" t="n">
        <v>0.98</v>
      </c>
      <c r="C95" s="105" t="n">
        <f aca="false">'Fishcount fish weights'!E8</f>
        <v>250</v>
      </c>
      <c r="D95" s="105" t="n">
        <f aca="false">'Fishcount fish weights'!F8</f>
        <v>800</v>
      </c>
      <c r="E95" s="106" t="n">
        <f aca="false">(D95+C95)/2</f>
        <v>525</v>
      </c>
      <c r="F95" s="107" t="s">
        <v>234</v>
      </c>
      <c r="G95" s="43" t="n">
        <f aca="false">G68</f>
        <v>0.292</v>
      </c>
      <c r="H95" s="108" t="n">
        <v>19.2748081491091</v>
      </c>
      <c r="I95" s="108"/>
      <c r="J95" s="108" t="n">
        <f aca="false">G95/(1-G95)</f>
        <v>0.412429378531073</v>
      </c>
      <c r="K95" s="94"/>
      <c r="L95" s="89"/>
      <c r="M95" s="74"/>
      <c r="N95" s="1"/>
    </row>
    <row r="96" customFormat="false" ht="12.8" hidden="false" customHeight="true" outlineLevel="0" collapsed="false">
      <c r="A96" s="103" t="s">
        <v>235</v>
      </c>
      <c r="B96" s="104" t="n">
        <v>0.996</v>
      </c>
      <c r="C96" s="105" t="n">
        <f aca="false">'Fishcount fish weights'!E57</f>
        <v>227</v>
      </c>
      <c r="D96" s="105" t="n">
        <f aca="false">'Fishcount fish weights'!F57</f>
        <v>1000</v>
      </c>
      <c r="E96" s="106" t="n">
        <f aca="false">(D96+C96)/2</f>
        <v>613.5</v>
      </c>
      <c r="F96" s="107" t="s">
        <v>236</v>
      </c>
      <c r="G96" s="43" t="n">
        <v>0</v>
      </c>
      <c r="H96" s="108"/>
      <c r="I96" s="108"/>
      <c r="J96" s="108" t="n">
        <f aca="false">G96/(1-G96)</f>
        <v>0</v>
      </c>
      <c r="K96" s="94"/>
      <c r="L96" s="1"/>
      <c r="M96" s="74"/>
      <c r="N96" s="1"/>
    </row>
    <row r="97" customFormat="false" ht="12.8" hidden="false" customHeight="true" outlineLevel="0" collapsed="false">
      <c r="A97" s="103" t="s">
        <v>237</v>
      </c>
      <c r="B97" s="104" t="n">
        <v>0.36</v>
      </c>
      <c r="C97" s="105" t="n">
        <f aca="false">'Fishcount fish weights'!E15</f>
        <v>500</v>
      </c>
      <c r="D97" s="105" t="n">
        <f aca="false">'Fishcount fish weights'!F15</f>
        <v>1500</v>
      </c>
      <c r="E97" s="106" t="n">
        <f aca="false">(D97+C97)/2</f>
        <v>1000</v>
      </c>
      <c r="F97" s="107" t="s">
        <v>234</v>
      </c>
      <c r="G97" s="43" t="n">
        <f aca="false">E63</f>
        <v>0.505</v>
      </c>
      <c r="H97" s="108" t="n">
        <v>19.2748081491091</v>
      </c>
      <c r="I97" s="108"/>
      <c r="J97" s="108" t="n">
        <f aca="false">G97/(1-G97)</f>
        <v>1.02020202020202</v>
      </c>
      <c r="K97" s="94"/>
      <c r="L97" s="1"/>
      <c r="M97" s="74"/>
      <c r="N97" s="1"/>
    </row>
    <row r="98" customFormat="false" ht="12.8" hidden="false" customHeight="true" outlineLevel="0" collapsed="false">
      <c r="A98" s="103" t="s">
        <v>238</v>
      </c>
      <c r="B98" s="104" t="n">
        <v>0.59</v>
      </c>
      <c r="C98" s="105" t="n">
        <v>800</v>
      </c>
      <c r="D98" s="105" t="n">
        <f aca="false">'Fishcount fish weights'!F86</f>
        <v>4545</v>
      </c>
      <c r="E98" s="106" t="n">
        <f aca="false">(D98+C98)/2</f>
        <v>2672.5</v>
      </c>
      <c r="F98" s="107" t="s">
        <v>236</v>
      </c>
      <c r="G98" s="43" t="n">
        <v>0</v>
      </c>
      <c r="H98" s="108"/>
      <c r="I98" s="108"/>
      <c r="J98" s="108" t="n">
        <f aca="false">G98/(1-G98)</f>
        <v>0</v>
      </c>
      <c r="K98" s="94"/>
      <c r="L98" s="1"/>
      <c r="M98" s="74"/>
      <c r="N98" s="1"/>
    </row>
    <row r="99" customFormat="false" ht="12.8" hidden="false" customHeight="true" outlineLevel="0" collapsed="false">
      <c r="A99" s="103" t="s">
        <v>239</v>
      </c>
      <c r="B99" s="104" t="n">
        <v>0.55</v>
      </c>
      <c r="C99" s="105" t="n">
        <f aca="false">'Fishcount fish weights'!E25</f>
        <v>340</v>
      </c>
      <c r="D99" s="105" t="n">
        <f aca="false">'Fishcount fish weights'!F25</f>
        <v>680</v>
      </c>
      <c r="E99" s="106" t="n">
        <f aca="false">(D99+C99)/2</f>
        <v>510</v>
      </c>
      <c r="F99" s="107" t="s">
        <v>234</v>
      </c>
      <c r="G99" s="43" t="n">
        <f aca="false">G64</f>
        <v>0.485416666666667</v>
      </c>
      <c r="H99" s="108" t="n">
        <v>19.2748081491091</v>
      </c>
      <c r="I99" s="108"/>
      <c r="J99" s="108" t="n">
        <f aca="false">G99/(1-G99)</f>
        <v>0.94331983805668</v>
      </c>
      <c r="K99" s="94"/>
      <c r="L99" s="1"/>
      <c r="M99" s="73"/>
      <c r="N99" s="1"/>
    </row>
    <row r="100" customFormat="false" ht="12.8" hidden="false" customHeight="true" outlineLevel="0" collapsed="false">
      <c r="A100" s="109" t="s">
        <v>240</v>
      </c>
      <c r="B100" s="110" t="n">
        <f aca="false">SUM(B95:B99)</f>
        <v>3.476</v>
      </c>
      <c r="C100" s="111" t="n">
        <f aca="false">SUMPRODUCT($B$95:$B$99/$B$100, C95:C99)</f>
        <v>376.896432681243</v>
      </c>
      <c r="D100" s="110" t="n">
        <f aca="false">SUMPRODUCT($B$95:$B$99/$B$100, D95:D99)</f>
        <v>1546.47583429229</v>
      </c>
      <c r="E100" s="110" t="n">
        <f aca="false">SUMPRODUCT($B$95:$B$99/$B$100,E95:E99)</f>
        <v>961.686133486766</v>
      </c>
      <c r="F100" s="112"/>
      <c r="G100" s="113" t="n">
        <f aca="false">SUMPRODUCT($B$95:$B$99/$B$100,G95:G99)</f>
        <v>0.211432441503644</v>
      </c>
      <c r="H100" s="110" t="n">
        <v>10.4802610477032</v>
      </c>
      <c r="I100" s="110"/>
      <c r="J100" s="110" t="n">
        <f aca="false">SUMPRODUCT($B$95:$B$99/$B$100,J95:J99)</f>
        <v>0.371196613683646</v>
      </c>
      <c r="K100" s="94"/>
      <c r="L100" s="1"/>
      <c r="M100" s="74"/>
      <c r="N100" s="1"/>
    </row>
    <row r="102" customFormat="false" ht="45.5" hidden="false" customHeight="true" outlineLevel="0" collapsed="false">
      <c r="A102" s="114"/>
      <c r="B102" s="114"/>
      <c r="C102" s="114"/>
      <c r="D102" s="114"/>
      <c r="E102" s="114"/>
      <c r="F102" s="114"/>
      <c r="G102" s="114"/>
      <c r="H102" s="114"/>
      <c r="I102" s="114"/>
    </row>
    <row r="103" customFormat="false" ht="12.8" hidden="false" customHeight="true" outlineLevel="0" collapsed="false">
      <c r="A103" s="115" t="s">
        <v>241</v>
      </c>
      <c r="B103" s="115"/>
      <c r="C103" s="115"/>
      <c r="D103" s="115"/>
      <c r="E103" s="115"/>
      <c r="F103" s="115"/>
      <c r="G103" s="115"/>
      <c r="H103" s="115"/>
      <c r="I103" s="115"/>
    </row>
    <row r="104" customFormat="false" ht="76.1" hidden="false" customHeight="true" outlineLevel="0" collapsed="false">
      <c r="A104" s="116" t="s">
        <v>242</v>
      </c>
      <c r="B104" s="117" t="s">
        <v>243</v>
      </c>
      <c r="C104" s="116" t="s">
        <v>244</v>
      </c>
      <c r="D104" s="116" t="s">
        <v>245</v>
      </c>
      <c r="E104" s="116" t="s">
        <v>246</v>
      </c>
      <c r="F104" s="116" t="s">
        <v>247</v>
      </c>
      <c r="G104" s="118" t="s">
        <v>248</v>
      </c>
      <c r="H104" s="119" t="s">
        <v>249</v>
      </c>
      <c r="I104" s="119"/>
    </row>
    <row r="105" customFormat="false" ht="19.4" hidden="false" customHeight="true" outlineLevel="0" collapsed="false">
      <c r="A105" s="117" t="s">
        <v>250</v>
      </c>
      <c r="B105" s="120" t="n">
        <v>17000000000</v>
      </c>
      <c r="C105" s="121" t="n">
        <f aca="false">B105/B108</f>
        <v>0.596427812034871</v>
      </c>
      <c r="D105" s="1" t="n">
        <v>24</v>
      </c>
      <c r="E105" s="122" t="n">
        <f aca="false">1000/D105</f>
        <v>41.6666666666667</v>
      </c>
      <c r="F105" s="1" t="n">
        <f aca="false">E105*0.123</f>
        <v>5.125</v>
      </c>
      <c r="G105" s="120" t="n">
        <f aca="false">(B105*E105)+(0.123*(B105*E105))</f>
        <v>795458333333.333</v>
      </c>
      <c r="H105" s="123" t="n">
        <f aca="false">G105/B105</f>
        <v>46.7916666666667</v>
      </c>
      <c r="I105" s="123"/>
    </row>
    <row r="106" customFormat="false" ht="12.8" hidden="false" customHeight="true" outlineLevel="0" collapsed="false">
      <c r="A106" s="117" t="s">
        <v>251</v>
      </c>
      <c r="B106" s="120" t="n">
        <v>1200000000</v>
      </c>
      <c r="C106" s="121" t="n">
        <f aca="false">B106/B108</f>
        <v>0.0421007867318733</v>
      </c>
      <c r="D106" s="1" t="n">
        <v>24</v>
      </c>
      <c r="E106" s="122" t="n">
        <f aca="false">1000/D106</f>
        <v>41.6666666666667</v>
      </c>
      <c r="F106" s="1" t="n">
        <f aca="false">E106*0.123</f>
        <v>5.125</v>
      </c>
      <c r="G106" s="120" t="n">
        <f aca="false">(B106*E106)+(0.123*(B106*E106))</f>
        <v>56150000000</v>
      </c>
      <c r="H106" s="123" t="n">
        <f aca="false">G106/B106</f>
        <v>46.7916666666667</v>
      </c>
      <c r="I106" s="123"/>
      <c r="J106" s="124" t="s">
        <v>252</v>
      </c>
      <c r="K106" s="124"/>
      <c r="L106" s="124"/>
    </row>
    <row r="107" customFormat="false" ht="12.8" hidden="false" customHeight="true" outlineLevel="0" collapsed="false">
      <c r="A107" s="117" t="s">
        <v>253</v>
      </c>
      <c r="B107" s="120" t="n">
        <f aca="false">B130</f>
        <v>10303030303.0303</v>
      </c>
      <c r="C107" s="121" t="n">
        <f aca="false">B107/B108</f>
        <v>0.361471401233255</v>
      </c>
      <c r="D107" s="1"/>
      <c r="E107" s="122"/>
      <c r="G107" s="120"/>
      <c r="H107" s="123" t="n">
        <v>0</v>
      </c>
      <c r="I107" s="123"/>
    </row>
    <row r="108" customFormat="false" ht="12.8" hidden="false" customHeight="true" outlineLevel="0" collapsed="false">
      <c r="A108" s="125" t="s">
        <v>254</v>
      </c>
      <c r="B108" s="126" t="n">
        <f aca="false">SUM(B105:B107)</f>
        <v>28503030303.0303</v>
      </c>
      <c r="C108" s="127"/>
      <c r="D108" s="128"/>
      <c r="E108" s="129" t="n">
        <f aca="false">((B105*E105)+(B106*E106)+(B107*E107))/SUM(B105:B107)</f>
        <v>26.6053582819477</v>
      </c>
      <c r="F108" s="130" t="n">
        <f aca="false">E108+(E108*0.123)</f>
        <v>29.8778173506273</v>
      </c>
      <c r="G108" s="126" t="n">
        <f aca="false">SUM(G105:G107)</f>
        <v>851608333333.333</v>
      </c>
      <c r="H108" s="131" t="n">
        <f aca="false">G108/B108</f>
        <v>29.8778173506273</v>
      </c>
      <c r="I108" s="131"/>
    </row>
    <row r="109" customFormat="false" ht="12.8" hidden="false" customHeight="true" outlineLevel="0" collapsed="false">
      <c r="A109" s="125"/>
      <c r="B109" s="126"/>
      <c r="C109" s="127"/>
      <c r="D109" s="128"/>
      <c r="E109" s="129"/>
      <c r="F109" s="130"/>
      <c r="G109" s="126"/>
      <c r="H109" s="131"/>
      <c r="I109" s="131"/>
    </row>
    <row r="110" customFormat="false" ht="25.35" hidden="false" customHeight="true" outlineLevel="0" collapsed="false">
      <c r="A110" s="132" t="s">
        <v>255</v>
      </c>
      <c r="B110" s="132" t="s">
        <v>256</v>
      </c>
      <c r="C110" s="132"/>
      <c r="D110" s="132"/>
      <c r="E110" s="132"/>
      <c r="F110" s="132"/>
      <c r="G110" s="132"/>
      <c r="H110" s="132"/>
      <c r="I110" s="133"/>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4"/>
      <c r="BN110" s="134"/>
      <c r="BO110" s="134"/>
      <c r="BP110" s="134"/>
      <c r="BQ110" s="134"/>
      <c r="BR110" s="134"/>
      <c r="BS110" s="134"/>
      <c r="BT110" s="134"/>
      <c r="BU110" s="134"/>
      <c r="BV110" s="134"/>
      <c r="BW110" s="134"/>
      <c r="BX110" s="134"/>
      <c r="BY110" s="134"/>
      <c r="BZ110" s="134"/>
      <c r="CA110" s="134"/>
      <c r="CB110" s="134"/>
      <c r="CC110" s="134"/>
      <c r="CD110" s="134"/>
      <c r="CE110" s="134"/>
      <c r="CF110" s="134"/>
      <c r="CG110" s="134"/>
      <c r="CH110" s="134"/>
      <c r="CI110" s="134"/>
      <c r="CJ110" s="134"/>
      <c r="CK110" s="134"/>
      <c r="CL110" s="134"/>
      <c r="CM110" s="134"/>
      <c r="CN110" s="134"/>
      <c r="CO110" s="134"/>
      <c r="CP110" s="134"/>
      <c r="CQ110" s="134"/>
      <c r="CR110" s="134"/>
      <c r="CS110" s="134"/>
      <c r="CT110" s="134"/>
      <c r="CU110" s="134"/>
      <c r="CV110" s="134"/>
      <c r="CW110" s="134"/>
      <c r="CX110" s="134"/>
      <c r="CY110" s="134"/>
      <c r="CZ110" s="134"/>
      <c r="DA110" s="134"/>
      <c r="DB110" s="134"/>
      <c r="DC110" s="134"/>
      <c r="DD110" s="134"/>
      <c r="DE110" s="134"/>
      <c r="DF110" s="134"/>
      <c r="DG110" s="134"/>
      <c r="DH110" s="134"/>
      <c r="DI110" s="134"/>
      <c r="DJ110" s="134"/>
      <c r="DK110" s="134"/>
      <c r="DL110" s="134"/>
      <c r="DM110" s="134"/>
      <c r="DN110" s="134"/>
      <c r="DO110" s="134"/>
      <c r="DP110" s="134"/>
      <c r="DQ110" s="134"/>
      <c r="DR110" s="134"/>
      <c r="DS110" s="134"/>
      <c r="DT110" s="134"/>
      <c r="DU110" s="134"/>
      <c r="DV110" s="134"/>
      <c r="DW110" s="134"/>
      <c r="DX110" s="134"/>
      <c r="DY110" s="134"/>
      <c r="DZ110" s="134"/>
      <c r="EA110" s="134"/>
      <c r="EB110" s="134"/>
      <c r="EC110" s="134"/>
      <c r="ED110" s="134"/>
      <c r="EE110" s="134"/>
      <c r="EF110" s="134"/>
      <c r="EG110" s="134"/>
      <c r="EH110" s="134"/>
      <c r="EI110" s="134"/>
      <c r="EJ110" s="134"/>
      <c r="EK110" s="134"/>
      <c r="EL110" s="134"/>
      <c r="EM110" s="134"/>
      <c r="EN110" s="134"/>
      <c r="EO110" s="134"/>
      <c r="EP110" s="134"/>
      <c r="EQ110" s="134"/>
      <c r="ER110" s="134"/>
      <c r="ES110" s="134"/>
      <c r="ET110" s="134"/>
      <c r="EU110" s="134"/>
      <c r="EV110" s="134"/>
      <c r="EW110" s="134"/>
      <c r="EX110" s="134"/>
      <c r="EY110" s="134"/>
      <c r="EZ110" s="134"/>
      <c r="FA110" s="134"/>
      <c r="FB110" s="134"/>
      <c r="FC110" s="134"/>
      <c r="FD110" s="134"/>
      <c r="FE110" s="134"/>
      <c r="FF110" s="134"/>
      <c r="FG110" s="134"/>
      <c r="FH110" s="134"/>
      <c r="FI110" s="134"/>
      <c r="FJ110" s="134"/>
      <c r="FK110" s="134"/>
      <c r="FL110" s="134"/>
      <c r="FM110" s="134"/>
      <c r="FN110" s="134"/>
      <c r="FO110" s="134"/>
      <c r="FP110" s="134"/>
      <c r="FQ110" s="134"/>
      <c r="FR110" s="134"/>
      <c r="FS110" s="134"/>
      <c r="FT110" s="134"/>
      <c r="FU110" s="134"/>
      <c r="FV110" s="134"/>
      <c r="FW110" s="134"/>
      <c r="FX110" s="134"/>
      <c r="FY110" s="134"/>
      <c r="FZ110" s="134"/>
      <c r="GA110" s="134"/>
      <c r="GB110" s="134"/>
      <c r="GC110" s="134"/>
      <c r="GD110" s="134"/>
      <c r="GE110" s="134"/>
      <c r="GF110" s="134"/>
      <c r="GG110" s="134"/>
      <c r="GH110" s="134"/>
      <c r="GI110" s="134"/>
      <c r="GJ110" s="134"/>
      <c r="GK110" s="134"/>
      <c r="GL110" s="134"/>
      <c r="GM110" s="134"/>
      <c r="GN110" s="134"/>
      <c r="GO110" s="134"/>
      <c r="GP110" s="134"/>
      <c r="GQ110" s="134"/>
      <c r="GR110" s="134"/>
      <c r="GS110" s="134"/>
      <c r="GT110" s="134"/>
      <c r="GU110" s="134"/>
      <c r="GV110" s="134"/>
      <c r="GW110" s="134"/>
      <c r="GX110" s="134"/>
      <c r="GY110" s="134"/>
      <c r="GZ110" s="134"/>
      <c r="HA110" s="134"/>
      <c r="HB110" s="134"/>
      <c r="HC110" s="134"/>
      <c r="HD110" s="134"/>
      <c r="HE110" s="134"/>
      <c r="HF110" s="134"/>
      <c r="HG110" s="134"/>
      <c r="HH110" s="134"/>
      <c r="HI110" s="134"/>
      <c r="HJ110" s="134"/>
      <c r="HK110" s="134"/>
      <c r="HL110" s="134"/>
      <c r="HM110" s="134"/>
      <c r="HN110" s="134"/>
      <c r="HO110" s="134"/>
      <c r="HP110" s="134"/>
      <c r="HQ110" s="134"/>
      <c r="HR110" s="134"/>
      <c r="HS110" s="134"/>
      <c r="HT110" s="134"/>
      <c r="HU110" s="134"/>
      <c r="HV110" s="134"/>
      <c r="HW110" s="134"/>
      <c r="HX110" s="134"/>
      <c r="HY110" s="134"/>
      <c r="HZ110" s="134"/>
      <c r="IA110" s="134"/>
      <c r="IB110" s="134"/>
      <c r="IC110" s="134"/>
      <c r="ID110" s="134"/>
      <c r="IE110" s="134"/>
      <c r="IF110" s="134"/>
      <c r="IG110" s="134"/>
      <c r="IH110" s="134"/>
      <c r="II110" s="134"/>
      <c r="IJ110" s="134"/>
      <c r="IK110" s="134"/>
      <c r="IL110" s="134"/>
      <c r="IM110" s="134"/>
      <c r="IN110" s="134"/>
      <c r="IO110" s="134"/>
      <c r="IP110" s="134"/>
      <c r="IQ110" s="134"/>
      <c r="IR110" s="134"/>
      <c r="IS110" s="134"/>
      <c r="IT110" s="134"/>
      <c r="IU110" s="134"/>
      <c r="IV110" s="134"/>
      <c r="IW110" s="134"/>
      <c r="IX110" s="134"/>
    </row>
    <row r="111" customFormat="false" ht="33.55" hidden="false" customHeight="true" outlineLevel="0" collapsed="false">
      <c r="A111" s="31" t="s">
        <v>257</v>
      </c>
      <c r="B111" s="31" t="s">
        <v>258</v>
      </c>
      <c r="C111" s="31" t="s">
        <v>258</v>
      </c>
      <c r="D111" s="31"/>
      <c r="E111" s="31"/>
      <c r="F111" s="31"/>
      <c r="G111" s="31"/>
      <c r="H111" s="31"/>
      <c r="I111" s="31"/>
      <c r="J111" s="31"/>
      <c r="K111" s="31"/>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4"/>
      <c r="BN111" s="134"/>
      <c r="BO111" s="134"/>
      <c r="BP111" s="134"/>
      <c r="BQ111" s="134"/>
      <c r="BR111" s="134"/>
      <c r="BS111" s="134"/>
      <c r="BT111" s="134"/>
      <c r="BU111" s="134"/>
      <c r="BV111" s="134"/>
      <c r="BW111" s="134"/>
      <c r="BX111" s="134"/>
      <c r="BY111" s="134"/>
      <c r="BZ111" s="134"/>
      <c r="CA111" s="134"/>
      <c r="CB111" s="134"/>
      <c r="CC111" s="134"/>
      <c r="CD111" s="134"/>
      <c r="CE111" s="134"/>
      <c r="CF111" s="134"/>
      <c r="CG111" s="134"/>
      <c r="CH111" s="134"/>
      <c r="CI111" s="134"/>
      <c r="CJ111" s="134"/>
      <c r="CK111" s="134"/>
      <c r="CL111" s="134"/>
      <c r="CM111" s="134"/>
      <c r="CN111" s="134"/>
      <c r="CO111" s="134"/>
      <c r="CP111" s="134"/>
      <c r="CQ111" s="134"/>
      <c r="CR111" s="134"/>
      <c r="CS111" s="134"/>
      <c r="CT111" s="134"/>
      <c r="CU111" s="134"/>
      <c r="CV111" s="134"/>
      <c r="CW111" s="134"/>
      <c r="CX111" s="134"/>
      <c r="CY111" s="134"/>
      <c r="CZ111" s="134"/>
      <c r="DA111" s="134"/>
      <c r="DB111" s="134"/>
      <c r="DC111" s="134"/>
      <c r="DD111" s="134"/>
      <c r="DE111" s="134"/>
      <c r="DF111" s="134"/>
      <c r="DG111" s="134"/>
      <c r="DH111" s="134"/>
      <c r="DI111" s="134"/>
      <c r="DJ111" s="134"/>
      <c r="DK111" s="134"/>
      <c r="DL111" s="134"/>
      <c r="DM111" s="134"/>
      <c r="DN111" s="134"/>
      <c r="DO111" s="134"/>
      <c r="DP111" s="134"/>
      <c r="DQ111" s="134"/>
      <c r="DR111" s="134"/>
      <c r="DS111" s="134"/>
      <c r="DT111" s="134"/>
      <c r="DU111" s="134"/>
      <c r="DV111" s="134"/>
      <c r="DW111" s="134"/>
      <c r="DX111" s="134"/>
      <c r="DY111" s="134"/>
      <c r="DZ111" s="134"/>
      <c r="EA111" s="134"/>
      <c r="EB111" s="134"/>
      <c r="EC111" s="134"/>
      <c r="ED111" s="134"/>
      <c r="EE111" s="134"/>
      <c r="EF111" s="134"/>
      <c r="EG111" s="134"/>
      <c r="EH111" s="134"/>
      <c r="EI111" s="134"/>
      <c r="EJ111" s="134"/>
      <c r="EK111" s="134"/>
      <c r="EL111" s="134"/>
      <c r="EM111" s="134"/>
      <c r="EN111" s="134"/>
      <c r="EO111" s="134"/>
      <c r="EP111" s="134"/>
      <c r="EQ111" s="134"/>
      <c r="ER111" s="134"/>
      <c r="ES111" s="134"/>
      <c r="ET111" s="134"/>
      <c r="EU111" s="134"/>
      <c r="EV111" s="134"/>
      <c r="EW111" s="134"/>
      <c r="EX111" s="134"/>
      <c r="EY111" s="134"/>
      <c r="EZ111" s="134"/>
      <c r="FA111" s="134"/>
      <c r="FB111" s="134"/>
      <c r="FC111" s="134"/>
      <c r="FD111" s="134"/>
      <c r="FE111" s="134"/>
      <c r="FF111" s="134"/>
      <c r="FG111" s="134"/>
      <c r="FH111" s="134"/>
      <c r="FI111" s="134"/>
      <c r="FJ111" s="134"/>
      <c r="FK111" s="134"/>
      <c r="FL111" s="134"/>
      <c r="FM111" s="134"/>
      <c r="FN111" s="134"/>
      <c r="FO111" s="134"/>
      <c r="FP111" s="134"/>
      <c r="FQ111" s="134"/>
      <c r="FR111" s="134"/>
      <c r="FS111" s="134"/>
      <c r="FT111" s="134"/>
      <c r="FU111" s="134"/>
      <c r="FV111" s="134"/>
      <c r="FW111" s="134"/>
      <c r="FX111" s="134"/>
      <c r="FY111" s="134"/>
      <c r="FZ111" s="134"/>
      <c r="GA111" s="134"/>
      <c r="GB111" s="134"/>
      <c r="GC111" s="134"/>
      <c r="GD111" s="134"/>
      <c r="GE111" s="134"/>
      <c r="GF111" s="134"/>
      <c r="GG111" s="134"/>
      <c r="GH111" s="134"/>
      <c r="GI111" s="134"/>
      <c r="GJ111" s="134"/>
      <c r="GK111" s="134"/>
      <c r="GL111" s="134"/>
      <c r="GM111" s="134"/>
      <c r="GN111" s="134"/>
      <c r="GO111" s="134"/>
      <c r="GP111" s="134"/>
      <c r="GQ111" s="134"/>
      <c r="GR111" s="134"/>
      <c r="GS111" s="134"/>
      <c r="GT111" s="134"/>
      <c r="GU111" s="134"/>
      <c r="GV111" s="134"/>
      <c r="GW111" s="134"/>
      <c r="GX111" s="134"/>
      <c r="GY111" s="134"/>
      <c r="GZ111" s="134"/>
      <c r="HA111" s="134"/>
      <c r="HB111" s="134"/>
      <c r="HC111" s="134"/>
      <c r="HD111" s="134"/>
      <c r="HE111" s="134"/>
      <c r="HF111" s="134"/>
      <c r="HG111" s="134"/>
      <c r="HH111" s="134"/>
      <c r="HI111" s="134"/>
      <c r="HJ111" s="134"/>
      <c r="HK111" s="134"/>
      <c r="HL111" s="134"/>
      <c r="HM111" s="134"/>
      <c r="HN111" s="134"/>
      <c r="HO111" s="134"/>
      <c r="HP111" s="134"/>
      <c r="HQ111" s="134"/>
      <c r="HR111" s="134"/>
      <c r="HS111" s="134"/>
      <c r="HT111" s="134"/>
      <c r="HU111" s="134"/>
      <c r="HV111" s="134"/>
      <c r="HW111" s="134"/>
      <c r="HX111" s="134"/>
      <c r="HY111" s="134"/>
      <c r="HZ111" s="134"/>
      <c r="IA111" s="134"/>
      <c r="IB111" s="134"/>
      <c r="IC111" s="134"/>
      <c r="ID111" s="134"/>
      <c r="IE111" s="134"/>
      <c r="IF111" s="134"/>
      <c r="IG111" s="134"/>
      <c r="IH111" s="134"/>
      <c r="II111" s="134"/>
      <c r="IJ111" s="134"/>
      <c r="IK111" s="134"/>
      <c r="IL111" s="134"/>
      <c r="IM111" s="134"/>
      <c r="IN111" s="134"/>
      <c r="IO111" s="134"/>
      <c r="IP111" s="134"/>
      <c r="IQ111" s="134"/>
      <c r="IR111" s="134"/>
      <c r="IS111" s="134"/>
      <c r="IT111" s="134"/>
      <c r="IU111" s="134"/>
      <c r="IV111" s="134"/>
      <c r="IW111" s="134"/>
      <c r="IX111" s="134"/>
    </row>
    <row r="112" customFormat="false" ht="15.65" hidden="false" customHeight="true" outlineLevel="0" collapsed="false">
      <c r="A112" s="4"/>
      <c r="B112" s="135"/>
      <c r="C112" s="135"/>
      <c r="D112" s="135"/>
      <c r="E112" s="135"/>
      <c r="F112" s="135"/>
      <c r="G112" s="135"/>
      <c r="H112" s="135"/>
      <c r="I112" s="135"/>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134"/>
      <c r="BS112" s="134"/>
      <c r="BT112" s="134"/>
      <c r="BU112" s="134"/>
      <c r="BV112" s="134"/>
      <c r="BW112" s="134"/>
      <c r="BX112" s="134"/>
      <c r="BY112" s="134"/>
      <c r="BZ112" s="134"/>
      <c r="CA112" s="134"/>
      <c r="CB112" s="134"/>
      <c r="CC112" s="134"/>
      <c r="CD112" s="134"/>
      <c r="CE112" s="134"/>
      <c r="CF112" s="134"/>
      <c r="CG112" s="134"/>
      <c r="CH112" s="134"/>
      <c r="CI112" s="134"/>
      <c r="CJ112" s="134"/>
      <c r="CK112" s="134"/>
      <c r="CL112" s="134"/>
      <c r="CM112" s="134"/>
      <c r="CN112" s="134"/>
      <c r="CO112" s="134"/>
      <c r="CP112" s="134"/>
      <c r="CQ112" s="134"/>
      <c r="CR112" s="134"/>
      <c r="CS112" s="134"/>
      <c r="CT112" s="134"/>
      <c r="CU112" s="134"/>
      <c r="CV112" s="134"/>
      <c r="CW112" s="134"/>
      <c r="CX112" s="134"/>
      <c r="CY112" s="134"/>
      <c r="CZ112" s="134"/>
      <c r="DA112" s="134"/>
      <c r="DB112" s="134"/>
      <c r="DC112" s="134"/>
      <c r="DD112" s="134"/>
      <c r="DE112" s="134"/>
      <c r="DF112" s="134"/>
      <c r="DG112" s="134"/>
      <c r="DH112" s="134"/>
      <c r="DI112" s="134"/>
      <c r="DJ112" s="134"/>
      <c r="DK112" s="134"/>
      <c r="DL112" s="134"/>
      <c r="DM112" s="134"/>
      <c r="DN112" s="134"/>
      <c r="DO112" s="134"/>
      <c r="DP112" s="134"/>
      <c r="DQ112" s="134"/>
      <c r="DR112" s="134"/>
      <c r="DS112" s="134"/>
      <c r="DT112" s="134"/>
      <c r="DU112" s="134"/>
      <c r="DV112" s="134"/>
      <c r="DW112" s="134"/>
      <c r="DX112" s="134"/>
      <c r="DY112" s="134"/>
      <c r="DZ112" s="134"/>
      <c r="EA112" s="134"/>
      <c r="EB112" s="134"/>
      <c r="EC112" s="134"/>
      <c r="ED112" s="134"/>
      <c r="EE112" s="134"/>
      <c r="EF112" s="134"/>
      <c r="EG112" s="134"/>
      <c r="EH112" s="134"/>
      <c r="EI112" s="134"/>
      <c r="EJ112" s="134"/>
      <c r="EK112" s="134"/>
      <c r="EL112" s="134"/>
      <c r="EM112" s="134"/>
      <c r="EN112" s="134"/>
      <c r="EO112" s="134"/>
      <c r="EP112" s="134"/>
      <c r="EQ112" s="134"/>
      <c r="ER112" s="134"/>
      <c r="ES112" s="134"/>
      <c r="ET112" s="134"/>
      <c r="EU112" s="134"/>
      <c r="EV112" s="134"/>
      <c r="EW112" s="134"/>
      <c r="EX112" s="134"/>
      <c r="EY112" s="134"/>
      <c r="EZ112" s="134"/>
      <c r="FA112" s="134"/>
      <c r="FB112" s="134"/>
      <c r="FC112" s="134"/>
      <c r="FD112" s="134"/>
      <c r="FE112" s="134"/>
      <c r="FF112" s="134"/>
      <c r="FG112" s="134"/>
      <c r="FH112" s="134"/>
      <c r="FI112" s="134"/>
      <c r="FJ112" s="134"/>
      <c r="FK112" s="134"/>
      <c r="FL112" s="134"/>
      <c r="FM112" s="134"/>
      <c r="FN112" s="134"/>
      <c r="FO112" s="134"/>
      <c r="FP112" s="134"/>
      <c r="FQ112" s="134"/>
      <c r="FR112" s="134"/>
      <c r="FS112" s="134"/>
      <c r="FT112" s="134"/>
      <c r="FU112" s="134"/>
      <c r="FV112" s="134"/>
      <c r="FW112" s="134"/>
      <c r="FX112" s="134"/>
      <c r="FY112" s="134"/>
      <c r="FZ112" s="134"/>
      <c r="GA112" s="134"/>
      <c r="GB112" s="134"/>
      <c r="GC112" s="134"/>
      <c r="GD112" s="134"/>
      <c r="GE112" s="134"/>
      <c r="GF112" s="134"/>
      <c r="GG112" s="134"/>
      <c r="GH112" s="134"/>
      <c r="GI112" s="134"/>
      <c r="GJ112" s="134"/>
      <c r="GK112" s="134"/>
      <c r="GL112" s="134"/>
      <c r="GM112" s="134"/>
      <c r="GN112" s="134"/>
      <c r="GO112" s="134"/>
      <c r="GP112" s="134"/>
      <c r="GQ112" s="134"/>
      <c r="GR112" s="134"/>
      <c r="GS112" s="134"/>
      <c r="GT112" s="134"/>
      <c r="GU112" s="134"/>
      <c r="GV112" s="134"/>
      <c r="GW112" s="134"/>
      <c r="GX112" s="134"/>
      <c r="GY112" s="134"/>
      <c r="GZ112" s="134"/>
      <c r="HA112" s="134"/>
      <c r="HB112" s="134"/>
      <c r="HC112" s="134"/>
      <c r="HD112" s="134"/>
      <c r="HE112" s="134"/>
      <c r="HF112" s="134"/>
      <c r="HG112" s="134"/>
      <c r="HH112" s="134"/>
      <c r="HI112" s="134"/>
      <c r="HJ112" s="134"/>
      <c r="HK112" s="134"/>
      <c r="HL112" s="134"/>
      <c r="HM112" s="134"/>
      <c r="HN112" s="134"/>
      <c r="HO112" s="134"/>
      <c r="HP112" s="134"/>
      <c r="HQ112" s="134"/>
      <c r="HR112" s="134"/>
      <c r="HS112" s="134"/>
      <c r="HT112" s="134"/>
      <c r="HU112" s="134"/>
      <c r="HV112" s="134"/>
      <c r="HW112" s="134"/>
      <c r="HX112" s="134"/>
      <c r="HY112" s="134"/>
      <c r="HZ112" s="134"/>
      <c r="IA112" s="134"/>
      <c r="IB112" s="134"/>
      <c r="IC112" s="134"/>
      <c r="ID112" s="134"/>
      <c r="IE112" s="134"/>
      <c r="IF112" s="134"/>
      <c r="IG112" s="134"/>
      <c r="IH112" s="134"/>
      <c r="II112" s="134"/>
      <c r="IJ112" s="134"/>
      <c r="IK112" s="134"/>
      <c r="IL112" s="134"/>
      <c r="IM112" s="134"/>
      <c r="IN112" s="134"/>
      <c r="IO112" s="134"/>
      <c r="IP112" s="134"/>
      <c r="IQ112" s="134"/>
      <c r="IR112" s="134"/>
      <c r="IS112" s="134"/>
      <c r="IT112" s="134"/>
      <c r="IU112" s="134"/>
      <c r="IV112" s="134"/>
      <c r="IW112" s="134"/>
      <c r="IX112" s="134"/>
    </row>
    <row r="113" customFormat="false" ht="31.3" hidden="false" customHeight="true" outlineLevel="0" collapsed="false">
      <c r="A113" s="136" t="s">
        <v>259</v>
      </c>
      <c r="B113" s="137" t="n">
        <f aca="false">B105</f>
        <v>17000000000</v>
      </c>
      <c r="C113" s="138" t="s">
        <v>260</v>
      </c>
      <c r="D113" s="138"/>
    </row>
    <row r="114" customFormat="false" ht="12.8" hidden="false" customHeight="true" outlineLevel="0" collapsed="false">
      <c r="A114" s="136" t="s">
        <v>261</v>
      </c>
      <c r="B114" s="139" t="n">
        <v>0.225</v>
      </c>
      <c r="C114" s="76"/>
    </row>
    <row r="115" customFormat="false" ht="12.8" hidden="false" customHeight="true" outlineLevel="0" collapsed="false">
      <c r="A115" s="136" t="s">
        <v>262</v>
      </c>
      <c r="B115" s="139" t="n">
        <v>0.05</v>
      </c>
      <c r="C115" s="76"/>
    </row>
    <row r="116" customFormat="false" ht="12.8" hidden="false" customHeight="true" outlineLevel="0" collapsed="false">
      <c r="A116" s="136" t="s">
        <v>263</v>
      </c>
      <c r="B116" s="139" t="n">
        <v>0.34</v>
      </c>
      <c r="C116" s="76"/>
    </row>
    <row r="117" customFormat="false" ht="12.8" hidden="false" customHeight="true" outlineLevel="0" collapsed="false">
      <c r="A117" s="136" t="s">
        <v>264</v>
      </c>
      <c r="B117" s="139" t="n">
        <v>0.53</v>
      </c>
      <c r="C117" s="76"/>
    </row>
    <row r="118" customFormat="false" ht="12.8" hidden="false" customHeight="true" outlineLevel="0" collapsed="false">
      <c r="A118" s="136"/>
      <c r="B118" s="137"/>
      <c r="C118" s="76"/>
    </row>
    <row r="119" customFormat="false" ht="25.35" hidden="false" customHeight="true" outlineLevel="0" collapsed="false">
      <c r="A119" s="136" t="s">
        <v>265</v>
      </c>
      <c r="B119" s="137" t="n">
        <f aca="false">B113*B114</f>
        <v>3825000000</v>
      </c>
      <c r="C119" s="138" t="s">
        <v>266</v>
      </c>
      <c r="D119" s="138"/>
      <c r="E119" s="138"/>
      <c r="F119" s="138"/>
      <c r="G119" s="138"/>
      <c r="H119" s="138"/>
      <c r="I119" s="138"/>
    </row>
    <row r="120" customFormat="false" ht="24.6" hidden="false" customHeight="true" outlineLevel="0" collapsed="false">
      <c r="A120" s="136" t="s">
        <v>267</v>
      </c>
      <c r="B120" s="137" t="n">
        <f aca="false">B113*B115</f>
        <v>850000000</v>
      </c>
      <c r="C120" s="138" t="s">
        <v>268</v>
      </c>
      <c r="D120" s="138"/>
      <c r="E120" s="138"/>
      <c r="F120" s="138"/>
      <c r="G120" s="138"/>
    </row>
    <row r="121" customFormat="false" ht="30" hidden="false" customHeight="true" outlineLevel="0" collapsed="false">
      <c r="A121" s="136" t="s">
        <v>269</v>
      </c>
      <c r="B121" s="137" t="n">
        <f aca="false">1-B116</f>
        <v>0.66</v>
      </c>
      <c r="C121" s="138" t="s">
        <v>270</v>
      </c>
      <c r="D121" s="138"/>
      <c r="E121" s="138"/>
      <c r="F121" s="138"/>
      <c r="G121" s="138"/>
    </row>
    <row r="122" customFormat="false" ht="22.35" hidden="false" customHeight="true" outlineLevel="0" collapsed="false">
      <c r="A122" s="136" t="s">
        <v>271</v>
      </c>
      <c r="B122" s="137" t="n">
        <f aca="false">1-B117</f>
        <v>0.47</v>
      </c>
      <c r="C122" s="138" t="s">
        <v>272</v>
      </c>
      <c r="D122" s="138"/>
      <c r="E122" s="138"/>
      <c r="F122" s="138"/>
      <c r="G122" s="138"/>
    </row>
    <row r="123" customFormat="false" ht="12.8" hidden="false" customHeight="true" outlineLevel="0" collapsed="false">
      <c r="A123" s="136" t="s">
        <v>273</v>
      </c>
      <c r="B123" s="137" t="n">
        <f aca="false">B119/B121</f>
        <v>5795454545.45455</v>
      </c>
      <c r="C123" s="138" t="s">
        <v>274</v>
      </c>
      <c r="D123" s="138"/>
      <c r="E123" s="138"/>
      <c r="F123" s="138"/>
      <c r="G123" s="138"/>
    </row>
    <row r="124" customFormat="false" ht="12.8" hidden="false" customHeight="true" outlineLevel="0" collapsed="false">
      <c r="A124" s="136" t="s">
        <v>275</v>
      </c>
      <c r="B124" s="137" t="n">
        <f aca="false">B120/B122</f>
        <v>1808510638.29787</v>
      </c>
      <c r="C124" s="138" t="s">
        <v>276</v>
      </c>
      <c r="D124" s="138"/>
      <c r="E124" s="138"/>
      <c r="F124" s="138"/>
      <c r="G124" s="138"/>
    </row>
    <row r="125" customFormat="false" ht="12.8" hidden="false" customHeight="true" outlineLevel="0" collapsed="false">
      <c r="A125" s="136" t="s">
        <v>277</v>
      </c>
      <c r="B125" s="137" t="n">
        <f aca="false">B123*B116</f>
        <v>1970454545.45455</v>
      </c>
      <c r="C125" s="138" t="s">
        <v>278</v>
      </c>
      <c r="D125" s="138"/>
      <c r="E125" s="138"/>
      <c r="F125" s="138"/>
      <c r="G125" s="138"/>
    </row>
    <row r="126" customFormat="false" ht="19.4" hidden="false" customHeight="true" outlineLevel="0" collapsed="false">
      <c r="A126" s="136" t="s">
        <v>279</v>
      </c>
      <c r="B126" s="137" t="n">
        <f aca="false">B124*B117</f>
        <v>958510638.297873</v>
      </c>
      <c r="C126" s="138" t="s">
        <v>280</v>
      </c>
      <c r="D126" s="138"/>
      <c r="E126" s="138"/>
      <c r="F126" s="138"/>
      <c r="G126" s="138"/>
    </row>
    <row r="127" customFormat="false" ht="27.6" hidden="false" customHeight="true" outlineLevel="0" collapsed="false">
      <c r="A127" s="136" t="s">
        <v>281</v>
      </c>
      <c r="B127" s="137" t="n">
        <v>0.85</v>
      </c>
      <c r="C127" s="76"/>
    </row>
    <row r="128" customFormat="false" ht="23.85" hidden="false" customHeight="true" outlineLevel="0" collapsed="false">
      <c r="A128" s="136" t="s">
        <v>282</v>
      </c>
      <c r="B128" s="137" t="n">
        <f aca="false">B125/(0.85*B114)</f>
        <v>10303030303.0303</v>
      </c>
      <c r="C128" s="138" t="s">
        <v>283</v>
      </c>
      <c r="D128" s="138"/>
      <c r="E128" s="138"/>
      <c r="F128" s="138"/>
      <c r="G128" s="138"/>
    </row>
    <row r="129" customFormat="false" ht="31.3" hidden="false" customHeight="true" outlineLevel="0" collapsed="false">
      <c r="A129" s="136" t="s">
        <v>284</v>
      </c>
      <c r="B129" s="140" t="n">
        <f aca="false">B126/B128</f>
        <v>0.093031914893617</v>
      </c>
      <c r="C129" s="76"/>
    </row>
    <row r="130" customFormat="false" ht="21.6" hidden="false" customHeight="true" outlineLevel="0" collapsed="false">
      <c r="A130" s="136" t="s">
        <v>285</v>
      </c>
      <c r="B130" s="137" t="n">
        <f aca="false">B126/B129</f>
        <v>10303030303.0303</v>
      </c>
      <c r="C130" s="76" t="s">
        <v>286</v>
      </c>
    </row>
    <row r="133" customFormat="false" ht="12.8" hidden="false" customHeight="true" outlineLevel="0" collapsed="false">
      <c r="A133" s="141" t="s">
        <v>287</v>
      </c>
      <c r="B133" s="142"/>
      <c r="C133" s="142"/>
      <c r="D133" s="142"/>
    </row>
    <row r="134" customFormat="false" ht="12.8" hidden="false" customHeight="true" outlineLevel="0" collapsed="false">
      <c r="A134" s="142"/>
      <c r="B134" s="142"/>
      <c r="C134" s="142"/>
      <c r="D134" s="142"/>
    </row>
    <row r="135" customFormat="false" ht="12.8" hidden="false" customHeight="true" outlineLevel="0" collapsed="false">
      <c r="A135" s="142" t="s">
        <v>288</v>
      </c>
      <c r="B135" s="142" t="s">
        <v>289</v>
      </c>
      <c r="C135" s="142"/>
      <c r="D135" s="142"/>
    </row>
    <row r="136" customFormat="false" ht="12.8" hidden="false" customHeight="true" outlineLevel="0" collapsed="false">
      <c r="A136" s="142" t="s">
        <v>290</v>
      </c>
      <c r="B136" s="143" t="s">
        <v>291</v>
      </c>
      <c r="C136" s="143" t="s">
        <v>292</v>
      </c>
      <c r="D136" s="143" t="s">
        <v>293</v>
      </c>
    </row>
    <row r="137" customFormat="false" ht="12.8" hidden="false" customHeight="true" outlineLevel="0" collapsed="false">
      <c r="A137" s="144" t="s">
        <v>294</v>
      </c>
      <c r="B137" s="145" t="n">
        <v>75</v>
      </c>
      <c r="C137" s="145" t="n">
        <v>221</v>
      </c>
      <c r="D137" s="146" t="s">
        <v>295</v>
      </c>
    </row>
    <row r="138" customFormat="false" ht="12.8" hidden="false" customHeight="true" outlineLevel="0" collapsed="false">
      <c r="A138" s="144" t="s">
        <v>296</v>
      </c>
      <c r="B138" s="145" t="n">
        <v>12</v>
      </c>
      <c r="C138" s="145" t="n">
        <v>28</v>
      </c>
      <c r="D138" s="146" t="s">
        <v>295</v>
      </c>
    </row>
    <row r="139" customFormat="false" ht="12.8" hidden="false" customHeight="true" outlineLevel="0" collapsed="false">
      <c r="A139" s="144" t="s">
        <v>297</v>
      </c>
      <c r="B139" s="145" t="n">
        <v>20</v>
      </c>
      <c r="C139" s="145" t="n">
        <v>32</v>
      </c>
      <c r="D139" s="146" t="s">
        <v>295</v>
      </c>
    </row>
    <row r="140" customFormat="false" ht="12.8" hidden="false" customHeight="true" outlineLevel="0" collapsed="false">
      <c r="A140" s="144"/>
      <c r="B140" s="147"/>
      <c r="C140" s="144"/>
      <c r="D140" s="146"/>
    </row>
    <row r="141" customFormat="false" ht="12.8" hidden="false" customHeight="true" outlineLevel="0" collapsed="false">
      <c r="A141" s="148" t="s">
        <v>298</v>
      </c>
      <c r="B141" s="148" t="s">
        <v>299</v>
      </c>
      <c r="C141" s="148"/>
      <c r="D141" s="148"/>
    </row>
    <row r="142" customFormat="false" ht="12.8" hidden="false" customHeight="true" outlineLevel="0" collapsed="false">
      <c r="A142" s="148"/>
      <c r="B142" s="148" t="s">
        <v>300</v>
      </c>
      <c r="C142" s="148" t="s">
        <v>301</v>
      </c>
      <c r="D142" s="148" t="s">
        <v>302</v>
      </c>
    </row>
    <row r="143" customFormat="false" ht="12.8" hidden="false" customHeight="true" outlineLevel="0" collapsed="false">
      <c r="A143" s="144" t="s">
        <v>303</v>
      </c>
      <c r="B143" s="149" t="n">
        <f aca="false">(1/3)*453.592</f>
        <v>151.197333333333</v>
      </c>
      <c r="C143" s="146" t="n">
        <v>150</v>
      </c>
      <c r="D143" s="150" t="s">
        <v>304</v>
      </c>
    </row>
    <row r="144" customFormat="false" ht="12.8" hidden="false" customHeight="true" outlineLevel="0" collapsed="false">
      <c r="A144" s="144" t="s">
        <v>305</v>
      </c>
      <c r="B144" s="149" t="n">
        <f aca="false">(0.5+1.35)/2*1000</f>
        <v>925</v>
      </c>
      <c r="C144" s="146" t="n">
        <f aca="false">(C147-C143-C145)/2</f>
        <v>51.25</v>
      </c>
      <c r="D144" s="150" t="s">
        <v>306</v>
      </c>
    </row>
    <row r="145" customFormat="false" ht="12.8" hidden="false" customHeight="true" outlineLevel="0" collapsed="false">
      <c r="A145" s="144" t="s">
        <v>307</v>
      </c>
      <c r="B145" s="149" t="n">
        <f aca="false">2*1000</f>
        <v>2000</v>
      </c>
      <c r="C145" s="146" t="n">
        <v>60</v>
      </c>
      <c r="D145" s="150" t="s">
        <v>308</v>
      </c>
    </row>
    <row r="146" customFormat="false" ht="12.8" hidden="false" customHeight="true" outlineLevel="0" collapsed="false">
      <c r="A146" s="144" t="s">
        <v>309</v>
      </c>
      <c r="B146" s="149" t="n">
        <f aca="false">8*453.592</f>
        <v>3628.736</v>
      </c>
      <c r="C146" s="151" t="n">
        <f aca="false">(C147-C143-C145)/2</f>
        <v>51.25</v>
      </c>
      <c r="D146" s="150" t="s">
        <v>310</v>
      </c>
    </row>
    <row r="147" customFormat="false" ht="12.8" hidden="false" customHeight="true" outlineLevel="0" collapsed="false">
      <c r="A147" s="144" t="s">
        <v>240</v>
      </c>
      <c r="B147" s="149" t="n">
        <f aca="false">SUMPRODUCT(B143:B146,C143:C146/C147)</f>
        <v>1203.387424</v>
      </c>
      <c r="C147" s="151" t="n">
        <f aca="false">(350+275)/2</f>
        <v>312.5</v>
      </c>
      <c r="D147" s="146"/>
    </row>
    <row r="150" customFormat="false" ht="26.85" hidden="false" customHeight="true" outlineLevel="0" collapsed="false">
      <c r="A150" s="102" t="s">
        <v>311</v>
      </c>
      <c r="B150" s="102"/>
      <c r="C150" s="102"/>
      <c r="D150" s="102"/>
      <c r="E150" s="102"/>
      <c r="F150" s="152" t="s">
        <v>312</v>
      </c>
      <c r="G150" s="152"/>
      <c r="H150" s="153"/>
      <c r="I150" s="102"/>
      <c r="J150" s="102"/>
      <c r="K150" s="102"/>
    </row>
    <row r="151" customFormat="false" ht="48.5" hidden="false" customHeight="true" outlineLevel="0" collapsed="false">
      <c r="A151" s="8" t="s">
        <v>313</v>
      </c>
      <c r="B151" s="154" t="s">
        <v>314</v>
      </c>
      <c r="C151" s="154" t="s">
        <v>315</v>
      </c>
      <c r="D151" s="154" t="s">
        <v>316</v>
      </c>
      <c r="E151" s="154" t="s">
        <v>317</v>
      </c>
      <c r="F151" s="155" t="s">
        <v>295</v>
      </c>
      <c r="G151" s="1" t="s">
        <v>318</v>
      </c>
      <c r="H151" s="4" t="s">
        <v>319</v>
      </c>
      <c r="K151" s="156"/>
    </row>
    <row r="152" customFormat="false" ht="12.8" hidden="false" customHeight="true" outlineLevel="0" collapsed="false">
      <c r="A152" s="155" t="s">
        <v>42</v>
      </c>
      <c r="B152" s="4" t="n">
        <v>0</v>
      </c>
      <c r="C152" s="4" t="n">
        <v>0</v>
      </c>
      <c r="D152" s="4" t="n">
        <v>0</v>
      </c>
      <c r="E152" s="157" t="n">
        <f aca="false">(B152+C152+D152)/3</f>
        <v>0</v>
      </c>
      <c r="F152" s="155"/>
      <c r="G152" s="158" t="n">
        <v>0.02058</v>
      </c>
      <c r="H152" s="158" t="n">
        <v>0.02058</v>
      </c>
      <c r="K152" s="156"/>
    </row>
    <row r="153" customFormat="false" ht="12.8" hidden="false" customHeight="true" outlineLevel="0" collapsed="false">
      <c r="A153" s="155" t="s">
        <v>43</v>
      </c>
      <c r="B153" s="4" t="n">
        <v>0.2</v>
      </c>
      <c r="C153" s="4" t="n">
        <v>0.15</v>
      </c>
      <c r="D153" s="4" t="n">
        <v>0.15</v>
      </c>
      <c r="E153" s="157" t="n">
        <f aca="false">(B153+C153+D153)/3</f>
        <v>0.166666666666667</v>
      </c>
      <c r="F153" s="4" t="n">
        <v>0.586796</v>
      </c>
      <c r="G153" s="158" t="n">
        <v>6.238</v>
      </c>
      <c r="H153" s="158" t="n">
        <f aca="false">(E153*F153)+((1-E153)*G153)</f>
        <v>5.29613266666667</v>
      </c>
      <c r="K153" s="156"/>
    </row>
    <row r="154" customFormat="false" ht="12.8" hidden="false" customHeight="true" outlineLevel="0" collapsed="false">
      <c r="A154" s="155" t="s">
        <v>143</v>
      </c>
      <c r="B154" s="4"/>
      <c r="C154" s="4"/>
      <c r="D154" s="4"/>
      <c r="E154" s="157"/>
      <c r="F154" s="4"/>
      <c r="G154" s="158" t="n">
        <v>6.238</v>
      </c>
      <c r="H154" s="158" t="n">
        <v>6.238</v>
      </c>
      <c r="K154" s="156"/>
    </row>
    <row r="155" customFormat="false" ht="12.8" hidden="false" customHeight="true" outlineLevel="0" collapsed="false">
      <c r="A155" s="155" t="s">
        <v>45</v>
      </c>
      <c r="B155" s="4"/>
      <c r="C155" s="4"/>
      <c r="D155" s="4"/>
      <c r="E155" s="157"/>
      <c r="F155" s="4" t="n">
        <v>0.586796</v>
      </c>
      <c r="G155" s="158"/>
      <c r="H155" s="158" t="n">
        <v>0.586796</v>
      </c>
      <c r="K155" s="156"/>
    </row>
    <row r="156" customFormat="false" ht="12.8" hidden="false" customHeight="true" outlineLevel="0" collapsed="false">
      <c r="A156" s="2" t="s">
        <v>46</v>
      </c>
      <c r="B156" s="2" t="n">
        <v>0.04</v>
      </c>
      <c r="C156" s="2" t="n">
        <v>0.05</v>
      </c>
      <c r="D156" s="2" t="n">
        <v>0.05</v>
      </c>
      <c r="E156" s="158" t="n">
        <f aca="false">(B156+C156+D156)/3</f>
        <v>0.0466666666666667</v>
      </c>
      <c r="F156" s="2"/>
      <c r="G156" s="158" t="n">
        <v>12.601</v>
      </c>
      <c r="H156" s="158" t="n">
        <v>12.601</v>
      </c>
      <c r="J156" s="76"/>
      <c r="K156" s="156"/>
    </row>
    <row r="157" customFormat="false" ht="12.8" hidden="false" customHeight="true" outlineLevel="0" collapsed="false">
      <c r="A157" s="155" t="s">
        <v>320</v>
      </c>
      <c r="B157" s="4" t="n">
        <v>0</v>
      </c>
      <c r="C157" s="4" t="n">
        <v>0.05</v>
      </c>
      <c r="D157" s="4" t="n">
        <v>0.04</v>
      </c>
      <c r="E157" s="157" t="n">
        <f aca="false">(B157+C157+D157)/3</f>
        <v>0.03</v>
      </c>
      <c r="F157" s="155"/>
      <c r="G157" s="158" t="n">
        <v>11.879</v>
      </c>
      <c r="H157" s="158" t="n">
        <v>11.879</v>
      </c>
      <c r="J157" s="155"/>
      <c r="K157" s="156"/>
    </row>
    <row r="158" customFormat="false" ht="12.8" hidden="false" customHeight="true" outlineLevel="0" collapsed="false">
      <c r="A158" s="155" t="s">
        <v>48</v>
      </c>
      <c r="B158" s="4" t="n">
        <v>0.9</v>
      </c>
      <c r="C158" s="4" t="n">
        <v>0.93</v>
      </c>
      <c r="D158" s="4" t="n">
        <v>0.95</v>
      </c>
      <c r="E158" s="157" t="n">
        <f aca="false">(B158+C158+D158)/3</f>
        <v>0.926666666666667</v>
      </c>
      <c r="F158" s="4" t="n">
        <v>0.843876</v>
      </c>
      <c r="G158" s="158" t="n">
        <v>25.366448</v>
      </c>
      <c r="H158" s="158" t="n">
        <f aca="false">(E158*F158)+((1-E158)*G158)</f>
        <v>2.64219794666666</v>
      </c>
      <c r="J158" s="76"/>
      <c r="K158" s="156"/>
    </row>
    <row r="159" customFormat="false" ht="12.8" hidden="false" customHeight="true" outlineLevel="0" collapsed="false">
      <c r="A159" s="155" t="s">
        <v>145</v>
      </c>
      <c r="B159" s="4"/>
      <c r="C159" s="4"/>
      <c r="D159" s="4"/>
      <c r="E159" s="157"/>
      <c r="F159" s="4"/>
      <c r="G159" s="158" t="n">
        <v>25.366448</v>
      </c>
      <c r="H159" s="158" t="n">
        <v>25.366448</v>
      </c>
      <c r="J159" s="76"/>
      <c r="K159" s="156"/>
    </row>
    <row r="160" customFormat="false" ht="12.8" hidden="false" customHeight="true" outlineLevel="0" collapsed="false">
      <c r="A160" s="155" t="s">
        <v>50</v>
      </c>
      <c r="B160" s="4"/>
      <c r="C160" s="4"/>
      <c r="D160" s="4"/>
      <c r="E160" s="157"/>
      <c r="F160" s="4" t="n">
        <v>0.843876</v>
      </c>
      <c r="G160" s="158"/>
      <c r="H160" s="158" t="n">
        <v>0.843876</v>
      </c>
      <c r="K160" s="156"/>
    </row>
    <row r="161" customFormat="false" ht="12.8" hidden="false" customHeight="true" outlineLevel="0" collapsed="false">
      <c r="A161" s="155" t="s">
        <v>51</v>
      </c>
      <c r="B161" s="4" t="n">
        <v>0.05</v>
      </c>
      <c r="C161" s="4" t="n">
        <v>0.03</v>
      </c>
      <c r="D161" s="4" t="n">
        <v>0.05</v>
      </c>
      <c r="E161" s="157" t="n">
        <f aca="false">(B161+C161+D161)/3</f>
        <v>0.0433333333333333</v>
      </c>
      <c r="G161" s="158" t="n">
        <v>2.696</v>
      </c>
      <c r="H161" s="158" t="n">
        <v>2.696</v>
      </c>
      <c r="K161" s="156"/>
    </row>
    <row r="162" customFormat="false" ht="12.8" hidden="false" customHeight="true" outlineLevel="0" collapsed="false">
      <c r="A162" s="155" t="s">
        <v>52</v>
      </c>
      <c r="B162" s="4" t="n">
        <v>0</v>
      </c>
      <c r="C162" s="4" t="n">
        <v>0.03</v>
      </c>
      <c r="D162" s="4" t="n">
        <v>0.01</v>
      </c>
      <c r="E162" s="157" t="n">
        <f aca="false">(B162+C162+D162)/3</f>
        <v>0.0133333333333333</v>
      </c>
      <c r="F162" s="155"/>
      <c r="G162" s="158" t="n">
        <v>10.595343</v>
      </c>
      <c r="H162" s="158" t="n">
        <v>10.595343</v>
      </c>
      <c r="K162" s="156"/>
    </row>
    <row r="163" customFormat="false" ht="12.8" hidden="false" customHeight="true" outlineLevel="0" collapsed="false">
      <c r="A163" s="155" t="s">
        <v>53</v>
      </c>
      <c r="B163" s="4" t="n">
        <v>0.05</v>
      </c>
      <c r="C163" s="4" t="n">
        <v>0</v>
      </c>
      <c r="D163" s="4" t="n">
        <v>0.05</v>
      </c>
      <c r="E163" s="157" t="n">
        <f aca="false">(B163+C163+D163)/3</f>
        <v>0.0333333333333333</v>
      </c>
      <c r="F163" s="155"/>
      <c r="G163" s="72" t="n">
        <f aca="false">$B$147/1000</f>
        <v>1.203387424</v>
      </c>
      <c r="H163" s="158" t="n">
        <f aca="false">$B$147/1000</f>
        <v>1.203387424</v>
      </c>
      <c r="K163" s="156"/>
    </row>
    <row r="164" customFormat="false" ht="12.8" hidden="false" customHeight="true" outlineLevel="0" collapsed="false">
      <c r="A164" s="155" t="s">
        <v>321</v>
      </c>
      <c r="B164" s="4"/>
      <c r="C164" s="4"/>
      <c r="D164" s="4"/>
      <c r="E164" s="157"/>
      <c r="F164" s="155"/>
      <c r="G164" s="72"/>
      <c r="H164" s="158"/>
      <c r="K164" s="156"/>
    </row>
    <row r="165" customFormat="false" ht="12.8" hidden="false" customHeight="true" outlineLevel="0" collapsed="false">
      <c r="A165" s="155" t="s">
        <v>55</v>
      </c>
      <c r="B165" s="4" t="n">
        <v>0.05</v>
      </c>
      <c r="C165" s="4" t="n">
        <v>0.03</v>
      </c>
      <c r="D165" s="4" t="n">
        <v>0.05</v>
      </c>
      <c r="E165" s="157" t="n">
        <f aca="false">(B165+C165+D165)/3</f>
        <v>0.0433333333333333</v>
      </c>
      <c r="F165" s="155"/>
      <c r="G165" s="158" t="n">
        <v>0.463221</v>
      </c>
      <c r="H165" s="158" t="n">
        <v>0.463221</v>
      </c>
      <c r="J165" s="78"/>
      <c r="K165" s="156"/>
    </row>
    <row r="166" customFormat="false" ht="12.8" hidden="false" customHeight="true" outlineLevel="0" collapsed="false">
      <c r="A166" s="155" t="s">
        <v>56</v>
      </c>
      <c r="B166" s="4" t="n">
        <v>0.05</v>
      </c>
      <c r="C166" s="4" t="n">
        <v>0.03</v>
      </c>
      <c r="D166" s="4" t="n">
        <v>0.03</v>
      </c>
      <c r="E166" s="157" t="n">
        <f aca="false">(B166+C166+D166)/3</f>
        <v>0.0366666666666667</v>
      </c>
      <c r="F166" s="155"/>
      <c r="G166" s="158" t="n">
        <v>1.35</v>
      </c>
      <c r="H166" s="158" t="n">
        <v>1.35</v>
      </c>
      <c r="K166" s="156"/>
    </row>
    <row r="167" customFormat="false" ht="12.8" hidden="false" customHeight="true" outlineLevel="0" collapsed="false">
      <c r="A167" s="155" t="s">
        <v>57</v>
      </c>
      <c r="B167" s="4" t="n">
        <v>0.05</v>
      </c>
      <c r="C167" s="4" t="n">
        <v>0.03</v>
      </c>
      <c r="D167" s="4" t="n">
        <v>0.03</v>
      </c>
      <c r="E167" s="157" t="n">
        <f aca="false">(B167+C167+D167)/3</f>
        <v>0.0366666666666667</v>
      </c>
      <c r="F167" s="155"/>
      <c r="G167" s="158" t="n">
        <v>1.005285</v>
      </c>
      <c r="H167" s="158" t="n">
        <v>1.005285</v>
      </c>
      <c r="K167" s="156"/>
    </row>
    <row r="168" customFormat="false" ht="12.8" hidden="false" customHeight="true" outlineLevel="0" collapsed="false">
      <c r="A168" s="155" t="s">
        <v>58</v>
      </c>
      <c r="B168" s="4" t="n">
        <v>0.05</v>
      </c>
      <c r="C168" s="4" t="n">
        <v>0</v>
      </c>
      <c r="D168" s="4" t="n">
        <v>0.01</v>
      </c>
      <c r="E168" s="157" t="n">
        <f aca="false">(B168+C168+D168)/3</f>
        <v>0.02</v>
      </c>
      <c r="F168" s="4"/>
      <c r="G168" s="158" t="n">
        <v>11.43318</v>
      </c>
      <c r="H168" s="158" t="n">
        <v>11.43318</v>
      </c>
      <c r="K168" s="156"/>
    </row>
    <row r="169" customFormat="false" ht="12.8" hidden="false" customHeight="true" outlineLevel="0" collapsed="false">
      <c r="A169" s="155" t="s">
        <v>59</v>
      </c>
      <c r="B169" s="4" t="n">
        <v>0.05</v>
      </c>
      <c r="C169" s="4" t="n">
        <v>0.03</v>
      </c>
      <c r="D169" s="4" t="n">
        <v>0.02</v>
      </c>
      <c r="E169" s="157" t="n">
        <f aca="false">(B169+C169+D169)/3</f>
        <v>0.0333333333333333</v>
      </c>
      <c r="F169" s="155"/>
      <c r="G169" s="158" t="n">
        <v>0.249212</v>
      </c>
      <c r="H169" s="158" t="n">
        <v>0.249212</v>
      </c>
      <c r="K169" s="156"/>
    </row>
    <row r="170" customFormat="false" ht="12.8" hidden="false" customHeight="true" outlineLevel="0" collapsed="false">
      <c r="A170" s="155" t="s">
        <v>60</v>
      </c>
      <c r="B170" s="4" t="n">
        <v>0</v>
      </c>
      <c r="C170" s="4" t="n">
        <v>0.03</v>
      </c>
      <c r="D170" s="4" t="n">
        <v>0.05</v>
      </c>
      <c r="E170" s="157" t="n">
        <f aca="false">(B170+C170+D170)/3</f>
        <v>0.0266666666666667</v>
      </c>
      <c r="F170" s="4"/>
      <c r="G170" s="158" t="n">
        <v>1.499787</v>
      </c>
      <c r="H170" s="158" t="n">
        <v>1.499787</v>
      </c>
      <c r="K170" s="156"/>
    </row>
    <row r="171" customFormat="false" ht="12.8" hidden="false" customHeight="true" outlineLevel="0" collapsed="false">
      <c r="A171" s="155" t="s">
        <v>61</v>
      </c>
      <c r="B171" s="4" t="n">
        <v>0</v>
      </c>
      <c r="C171" s="4" t="n">
        <v>0</v>
      </c>
      <c r="D171" s="4" t="n">
        <v>0.05</v>
      </c>
      <c r="E171" s="157" t="n">
        <f aca="false">(B171+C171+D171)/3</f>
        <v>0.0166666666666667</v>
      </c>
      <c r="F171" s="155"/>
      <c r="G171" s="72" t="n">
        <v>0.57</v>
      </c>
      <c r="H171" s="158" t="n">
        <v>0.57</v>
      </c>
      <c r="K171" s="156"/>
    </row>
    <row r="172" customFormat="false" ht="12.8" hidden="false" customHeight="true" outlineLevel="0" collapsed="false">
      <c r="A172" s="155" t="s">
        <v>62</v>
      </c>
      <c r="B172" s="4" t="n">
        <v>0</v>
      </c>
      <c r="C172" s="4" t="n">
        <v>0</v>
      </c>
      <c r="D172" s="4" t="n">
        <v>0</v>
      </c>
      <c r="E172" s="157"/>
      <c r="F172" s="155"/>
      <c r="G172" s="72" t="n">
        <v>10</v>
      </c>
      <c r="H172" s="158"/>
      <c r="K172" s="156"/>
    </row>
    <row r="173" customFormat="false" ht="17.9" hidden="false" customHeight="true" outlineLevel="0" collapsed="false">
      <c r="A173" s="155" t="s">
        <v>63</v>
      </c>
      <c r="B173" s="4" t="n">
        <v>0.95</v>
      </c>
      <c r="C173" s="4" t="n">
        <v>0.95</v>
      </c>
      <c r="D173" s="4" t="n">
        <v>0.95</v>
      </c>
      <c r="E173" s="157" t="n">
        <f aca="false">(B173+C173+D173)/3</f>
        <v>0.95</v>
      </c>
      <c r="F173" s="4" t="n">
        <v>0.375</v>
      </c>
      <c r="G173" s="158" t="n">
        <v>0.6</v>
      </c>
      <c r="H173" s="158" t="n">
        <f aca="false">(E173*F173)+((1-E173)*G173)</f>
        <v>0.38625</v>
      </c>
      <c r="K173" s="156"/>
    </row>
    <row r="174" customFormat="false" ht="12.8" hidden="false" customHeight="true" outlineLevel="0" collapsed="false">
      <c r="A174" s="155" t="s">
        <v>148</v>
      </c>
      <c r="B174" s="4"/>
      <c r="C174" s="4"/>
      <c r="D174" s="4"/>
      <c r="E174" s="157"/>
      <c r="F174" s="4"/>
      <c r="G174" s="158" t="n">
        <v>0.6</v>
      </c>
      <c r="H174" s="158" t="n">
        <v>0.6</v>
      </c>
      <c r="J174" s="76"/>
      <c r="K174" s="156"/>
    </row>
    <row r="175" customFormat="false" ht="12.8" hidden="false" customHeight="true" outlineLevel="0" collapsed="false">
      <c r="A175" s="155" t="s">
        <v>65</v>
      </c>
      <c r="B175" s="4"/>
      <c r="C175" s="4"/>
      <c r="D175" s="4"/>
      <c r="E175" s="157"/>
      <c r="F175" s="4" t="n">
        <v>0.375</v>
      </c>
      <c r="G175" s="158"/>
      <c r="H175" s="158" t="n">
        <v>0.375</v>
      </c>
      <c r="J175" s="76"/>
      <c r="K175" s="156"/>
    </row>
    <row r="176" customFormat="false" ht="12.8" hidden="false" customHeight="true" outlineLevel="0" collapsed="false">
      <c r="A176" s="155" t="s">
        <v>66</v>
      </c>
      <c r="B176" s="4" t="n">
        <v>0.1</v>
      </c>
      <c r="C176" s="4" t="n">
        <v>0.15</v>
      </c>
      <c r="D176" s="4" t="n">
        <v>0.15</v>
      </c>
      <c r="E176" s="157" t="n">
        <f aca="false">(B176+C176+D176)/3</f>
        <v>0.133333333333333</v>
      </c>
      <c r="F176" s="155"/>
      <c r="G176" s="158" t="n">
        <v>0.900367</v>
      </c>
      <c r="H176" s="158" t="n">
        <v>0.900367</v>
      </c>
      <c r="J176" s="76"/>
      <c r="K176" s="156"/>
    </row>
    <row r="177" customFormat="false" ht="12.8" hidden="false" customHeight="true" outlineLevel="0" collapsed="false">
      <c r="A177" s="155" t="s">
        <v>67</v>
      </c>
      <c r="B177" s="4" t="n">
        <v>0</v>
      </c>
      <c r="C177" s="4" t="n">
        <v>0</v>
      </c>
      <c r="D177" s="4" t="n">
        <v>0</v>
      </c>
      <c r="E177" s="157"/>
      <c r="F177" s="155"/>
      <c r="G177" s="158"/>
      <c r="H177" s="158"/>
      <c r="J177" s="76"/>
      <c r="K177" s="156"/>
    </row>
    <row r="178" customFormat="false" ht="17.9" hidden="false" customHeight="true" outlineLevel="0" collapsed="false">
      <c r="A178" s="155" t="s">
        <v>68</v>
      </c>
      <c r="B178" s="4" t="n">
        <v>0.05</v>
      </c>
      <c r="C178" s="4" t="n">
        <v>0.08</v>
      </c>
      <c r="D178" s="4" t="n">
        <v>0.08</v>
      </c>
      <c r="E178" s="157" t="n">
        <f aca="false">(B178+C178+D178)/3</f>
        <v>0.07</v>
      </c>
      <c r="F178" s="157" t="n">
        <v>1</v>
      </c>
      <c r="G178" s="158" t="n">
        <v>0.429816</v>
      </c>
      <c r="H178" s="158" t="n">
        <f aca="false">(E178*F178)+((1-E178)*G178)</f>
        <v>0.46972888</v>
      </c>
      <c r="K178" s="156"/>
    </row>
    <row r="179" customFormat="false" ht="12.8" hidden="false" customHeight="true" outlineLevel="0" collapsed="false">
      <c r="A179" s="155" t="s">
        <v>151</v>
      </c>
      <c r="B179" s="4"/>
      <c r="C179" s="4"/>
      <c r="D179" s="4"/>
      <c r="E179" s="157"/>
      <c r="F179" s="157"/>
      <c r="G179" s="158" t="n">
        <v>0.429816</v>
      </c>
      <c r="H179" s="158" t="n">
        <v>0.429816</v>
      </c>
      <c r="K179" s="156"/>
    </row>
    <row r="180" customFormat="false" ht="12.8" hidden="false" customHeight="true" outlineLevel="0" collapsed="false">
      <c r="A180" s="155" t="s">
        <v>70</v>
      </c>
      <c r="B180" s="4"/>
      <c r="C180" s="4"/>
      <c r="D180" s="4"/>
      <c r="E180" s="157"/>
      <c r="F180" s="157" t="n">
        <v>1</v>
      </c>
      <c r="G180" s="158"/>
      <c r="H180" s="158" t="n">
        <v>1</v>
      </c>
      <c r="K180" s="156"/>
    </row>
    <row r="181" customFormat="false" ht="19.4" hidden="false" customHeight="true" outlineLevel="0" collapsed="false">
      <c r="A181" s="155" t="s">
        <v>71</v>
      </c>
      <c r="B181" s="4" t="n">
        <v>0.78</v>
      </c>
      <c r="C181" s="4" t="n">
        <v>0.75</v>
      </c>
      <c r="D181" s="4" t="n">
        <v>0.75</v>
      </c>
      <c r="E181" s="157" t="n">
        <f aca="false">(B181+C181+D181)/3</f>
        <v>0.76</v>
      </c>
      <c r="F181" s="157" t="n">
        <v>6.024</v>
      </c>
      <c r="G181" s="158" t="n">
        <v>3.585556</v>
      </c>
      <c r="H181" s="158" t="n">
        <f aca="false">(E181*F181)+((1-E181)*G181)</f>
        <v>5.43877344</v>
      </c>
      <c r="K181" s="156"/>
    </row>
    <row r="182" customFormat="false" ht="12.8" hidden="false" customHeight="true" outlineLevel="0" collapsed="false">
      <c r="A182" s="155" t="s">
        <v>154</v>
      </c>
      <c r="B182" s="4"/>
      <c r="C182" s="4"/>
      <c r="D182" s="4"/>
      <c r="E182" s="157"/>
      <c r="F182" s="157"/>
      <c r="G182" s="158" t="n">
        <v>3.585556</v>
      </c>
      <c r="H182" s="158" t="n">
        <v>3.585556</v>
      </c>
      <c r="K182" s="156"/>
    </row>
    <row r="183" customFormat="false" ht="12.8" hidden="false" customHeight="true" outlineLevel="0" collapsed="false">
      <c r="A183" s="155" t="s">
        <v>73</v>
      </c>
      <c r="B183" s="4"/>
      <c r="C183" s="4"/>
      <c r="D183" s="4"/>
      <c r="E183" s="157"/>
      <c r="F183" s="157" t="n">
        <v>6.024</v>
      </c>
      <c r="G183" s="158"/>
      <c r="H183" s="158" t="n">
        <v>6.024</v>
      </c>
      <c r="K183" s="156"/>
    </row>
    <row r="184" customFormat="false" ht="12.8" hidden="false" customHeight="true" outlineLevel="0" collapsed="false">
      <c r="A184" s="155" t="s">
        <v>74</v>
      </c>
      <c r="B184" s="4" t="n">
        <v>0.05</v>
      </c>
      <c r="C184" s="4" t="n">
        <v>0.03</v>
      </c>
      <c r="D184" s="4" t="n">
        <v>0.01</v>
      </c>
      <c r="E184" s="157" t="n">
        <f aca="false">(B184+C184+D184)/3</f>
        <v>0.03</v>
      </c>
      <c r="F184" s="155"/>
      <c r="G184" s="158" t="n">
        <v>0.100534629969233</v>
      </c>
      <c r="H184" s="158" t="n">
        <v>0.100534629969233</v>
      </c>
      <c r="K184" s="156"/>
    </row>
    <row r="185" customFormat="false" ht="12.8" hidden="false" customHeight="true" outlineLevel="0" collapsed="false">
      <c r="A185" s="155" t="s">
        <v>75</v>
      </c>
      <c r="B185" s="4" t="n">
        <v>0</v>
      </c>
      <c r="C185" s="4" t="n">
        <v>0.03</v>
      </c>
      <c r="D185" s="4" t="n">
        <v>0.01</v>
      </c>
      <c r="E185" s="157" t="n">
        <f aca="false">(B185+C185+D185)/3</f>
        <v>0.0133333333333333</v>
      </c>
      <c r="F185" s="155"/>
      <c r="G185" s="158" t="n">
        <v>0.082741</v>
      </c>
      <c r="H185" s="158" t="n">
        <v>0.082741</v>
      </c>
      <c r="K185" s="156"/>
    </row>
    <row r="186" customFormat="false" ht="12.8" hidden="false" customHeight="true" outlineLevel="0" collapsed="false">
      <c r="A186" s="155" t="s">
        <v>76</v>
      </c>
      <c r="B186" s="4" t="n">
        <v>0.87</v>
      </c>
      <c r="C186" s="4" t="n">
        <v>0.88</v>
      </c>
      <c r="D186" s="4" t="n">
        <v>0.85</v>
      </c>
      <c r="E186" s="157" t="n">
        <f aca="false">(B186+C186+D186)/3</f>
        <v>0.866666666666667</v>
      </c>
      <c r="F186" s="155"/>
      <c r="G186" s="159" t="n">
        <v>0.021652</v>
      </c>
      <c r="H186" s="158" t="n">
        <v>0.02</v>
      </c>
      <c r="K186" s="156"/>
    </row>
    <row r="187" customFormat="false" ht="12.8" hidden="false" customHeight="true" outlineLevel="0" collapsed="false">
      <c r="A187" s="155" t="s">
        <v>157</v>
      </c>
      <c r="B187" s="4"/>
      <c r="C187" s="4"/>
      <c r="D187" s="4"/>
      <c r="E187" s="157"/>
      <c r="F187" s="155"/>
      <c r="G187" s="158"/>
      <c r="H187" s="158" t="n">
        <v>0.02</v>
      </c>
      <c r="J187" s="76"/>
      <c r="K187" s="156"/>
    </row>
    <row r="188" customFormat="false" ht="12.8" hidden="false" customHeight="true" outlineLevel="0" collapsed="false">
      <c r="A188" s="155" t="s">
        <v>78</v>
      </c>
      <c r="B188" s="4"/>
      <c r="C188" s="4"/>
      <c r="D188" s="4"/>
      <c r="E188" s="157"/>
      <c r="F188" s="159" t="n">
        <v>0.02</v>
      </c>
      <c r="H188" s="158" t="n">
        <f aca="false">(B138+C138)/2000</f>
        <v>0.02</v>
      </c>
      <c r="J188" s="76"/>
      <c r="K188" s="156"/>
    </row>
    <row r="189" customFormat="false" ht="12.8" hidden="false" customHeight="true" outlineLevel="0" collapsed="false">
      <c r="A189" s="155" t="s">
        <v>79</v>
      </c>
      <c r="B189" s="4" t="n">
        <v>0.05</v>
      </c>
      <c r="C189" s="4" t="n">
        <v>0.03</v>
      </c>
      <c r="D189" s="4" t="n">
        <v>0.03</v>
      </c>
      <c r="E189" s="157" t="n">
        <f aca="false">(B189+C189+D189)/3</f>
        <v>0.0366666666666667</v>
      </c>
      <c r="F189" s="155"/>
      <c r="G189" s="158" t="n">
        <v>0.045981</v>
      </c>
      <c r="H189" s="158" t="n">
        <v>0.045981</v>
      </c>
      <c r="K189" s="156"/>
    </row>
    <row r="190" customFormat="false" ht="12.8" hidden="false" customHeight="true" outlineLevel="0" collapsed="false">
      <c r="A190" s="155" t="s">
        <v>80</v>
      </c>
      <c r="B190" s="4" t="n">
        <v>0.05</v>
      </c>
      <c r="C190" s="4" t="n">
        <v>0.03</v>
      </c>
      <c r="D190" s="4" t="n">
        <v>0.05</v>
      </c>
      <c r="E190" s="157" t="n">
        <f aca="false">(B190+C190+D190)/3</f>
        <v>0.0433333333333333</v>
      </c>
      <c r="F190" s="155"/>
      <c r="G190" s="158" t="n">
        <v>0.338457452522225</v>
      </c>
      <c r="H190" s="158" t="n">
        <v>0.338457452522225</v>
      </c>
      <c r="K190" s="156"/>
    </row>
    <row r="191" customFormat="false" ht="12.8" hidden="false" customHeight="true" outlineLevel="0" collapsed="false">
      <c r="A191" s="155" t="s">
        <v>322</v>
      </c>
      <c r="B191" s="4" t="n">
        <v>0.05</v>
      </c>
      <c r="C191" s="4" t="n">
        <v>0.03</v>
      </c>
      <c r="D191" s="4" t="n">
        <v>0.03</v>
      </c>
      <c r="E191" s="157" t="n">
        <f aca="false">(B191+C191+D191)/3</f>
        <v>0.0366666666666667</v>
      </c>
      <c r="F191" s="155"/>
      <c r="G191" s="158" t="n">
        <v>2</v>
      </c>
      <c r="H191" s="158" t="n">
        <v>2</v>
      </c>
      <c r="K191" s="156"/>
    </row>
    <row r="192" customFormat="false" ht="12.8" hidden="false" customHeight="true" outlineLevel="0" collapsed="false">
      <c r="A192" s="155" t="s">
        <v>82</v>
      </c>
      <c r="B192" s="4" t="n">
        <v>0.95</v>
      </c>
      <c r="C192" s="4" t="n">
        <v>0.93</v>
      </c>
      <c r="D192" s="4" t="n">
        <v>0.95</v>
      </c>
      <c r="E192" s="157" t="n">
        <f aca="false">(B192+C192+D192)/3</f>
        <v>0.943333333333333</v>
      </c>
      <c r="F192" s="4" t="n">
        <v>0.526479</v>
      </c>
      <c r="G192" s="158" t="n">
        <v>1.92703516375613</v>
      </c>
      <c r="H192" s="158" t="n">
        <f aca="false">(E192*F192)+((1-E192)*G192)</f>
        <v>0.605843849279514</v>
      </c>
      <c r="J192" s="76"/>
      <c r="K192" s="156"/>
    </row>
    <row r="193" customFormat="false" ht="12.8" hidden="false" customHeight="true" outlineLevel="0" collapsed="false">
      <c r="A193" s="155" t="s">
        <v>158</v>
      </c>
      <c r="B193" s="4"/>
      <c r="C193" s="4"/>
      <c r="D193" s="4"/>
      <c r="E193" s="157"/>
      <c r="F193" s="4"/>
      <c r="G193" s="158" t="n">
        <v>1.92703516375613</v>
      </c>
      <c r="H193" s="158" t="n">
        <v>1.92703516375613</v>
      </c>
      <c r="J193" s="76"/>
      <c r="K193" s="156"/>
    </row>
    <row r="194" customFormat="false" ht="12.8" hidden="false" customHeight="true" outlineLevel="0" collapsed="false">
      <c r="A194" s="155" t="s">
        <v>84</v>
      </c>
      <c r="B194" s="4"/>
      <c r="C194" s="4"/>
      <c r="D194" s="4"/>
      <c r="E194" s="157"/>
      <c r="F194" s="4" t="n">
        <v>0.526479</v>
      </c>
      <c r="G194" s="158"/>
      <c r="H194" s="158" t="n">
        <v>0.526479</v>
      </c>
      <c r="J194" s="76"/>
      <c r="K194" s="156"/>
    </row>
    <row r="195" customFormat="false" ht="12.8" hidden="false" customHeight="true" outlineLevel="0" collapsed="false">
      <c r="A195" s="155" t="s">
        <v>85</v>
      </c>
      <c r="B195" s="4" t="n">
        <v>0.85</v>
      </c>
      <c r="C195" s="4" t="n">
        <v>0.85</v>
      </c>
      <c r="D195" s="4" t="n">
        <v>0.95</v>
      </c>
      <c r="E195" s="157" t="n">
        <f aca="false">(B195+C195+D195)/3</f>
        <v>0.883333333333333</v>
      </c>
      <c r="F195" s="4" t="n">
        <v>2.605</v>
      </c>
      <c r="G195" s="158" t="n">
        <v>4.88425350213499</v>
      </c>
      <c r="H195" s="158" t="n">
        <f aca="false">(E195*F195)+((1-E195)*G195)</f>
        <v>2.87091290858242</v>
      </c>
      <c r="J195" s="76"/>
      <c r="K195" s="156"/>
    </row>
    <row r="196" customFormat="false" ht="12.8" hidden="false" customHeight="true" outlineLevel="0" collapsed="false">
      <c r="A196" s="155" t="s">
        <v>159</v>
      </c>
      <c r="B196" s="4"/>
      <c r="C196" s="4"/>
      <c r="D196" s="4"/>
      <c r="E196" s="157"/>
      <c r="F196" s="4"/>
      <c r="G196" s="158" t="n">
        <v>4.88425350213499</v>
      </c>
      <c r="H196" s="158" t="n">
        <v>4.88425350213499</v>
      </c>
      <c r="J196" s="76"/>
      <c r="K196" s="156"/>
    </row>
    <row r="197" customFormat="false" ht="12.8" hidden="false" customHeight="true" outlineLevel="0" collapsed="false">
      <c r="A197" s="155" t="s">
        <v>87</v>
      </c>
      <c r="B197" s="4"/>
      <c r="C197" s="4"/>
      <c r="D197" s="4"/>
      <c r="E197" s="157"/>
      <c r="F197" s="4" t="n">
        <v>2.605</v>
      </c>
      <c r="G197" s="158"/>
      <c r="H197" s="158" t="n">
        <v>2.605</v>
      </c>
      <c r="J197" s="76"/>
      <c r="K197" s="156"/>
    </row>
    <row r="198" customFormat="false" ht="12.8" hidden="false" customHeight="true" outlineLevel="0" collapsed="false">
      <c r="A198" s="155" t="s">
        <v>323</v>
      </c>
      <c r="B198" s="4" t="n">
        <v>0</v>
      </c>
      <c r="C198" s="4" t="n">
        <v>0</v>
      </c>
      <c r="D198" s="4" t="n">
        <v>0.01</v>
      </c>
      <c r="E198" s="157" t="n">
        <f aca="false">(B198+C198+D198)/3</f>
        <v>0.00333333333333333</v>
      </c>
      <c r="F198" s="4"/>
      <c r="G198" s="158" t="n">
        <v>18.56</v>
      </c>
      <c r="H198" s="158" t="n">
        <v>18.56</v>
      </c>
      <c r="K198" s="156"/>
    </row>
    <row r="199" customFormat="false" ht="17.15" hidden="false" customHeight="true" outlineLevel="0" collapsed="false">
      <c r="A199" s="160" t="s">
        <v>324</v>
      </c>
      <c r="B199" s="110" t="n">
        <v>0</v>
      </c>
      <c r="C199" s="110" t="n">
        <v>0</v>
      </c>
      <c r="D199" s="110" t="n">
        <v>0.01</v>
      </c>
      <c r="E199" s="110" t="n">
        <f aca="false">(B199+C199+D199)/3</f>
        <v>0.00333333333333333</v>
      </c>
      <c r="F199" s="110"/>
      <c r="G199" s="110" t="n">
        <v>133.976404228721</v>
      </c>
      <c r="H199" s="110" t="n">
        <v>133.976404228721</v>
      </c>
      <c r="I199" s="110"/>
      <c r="J199" s="110"/>
      <c r="K199" s="110"/>
    </row>
  </sheetData>
  <mergeCells count="21">
    <mergeCell ref="C53:F53"/>
    <mergeCell ref="B87:J87"/>
    <mergeCell ref="A102:I102"/>
    <mergeCell ref="A103:H103"/>
    <mergeCell ref="J106:L106"/>
    <mergeCell ref="A110:H110"/>
    <mergeCell ref="A111:K111"/>
    <mergeCell ref="B112:I112"/>
    <mergeCell ref="C113:D113"/>
    <mergeCell ref="C119:H119"/>
    <mergeCell ref="C120:G120"/>
    <mergeCell ref="C121:G121"/>
    <mergeCell ref="C122:G122"/>
    <mergeCell ref="C123:G123"/>
    <mergeCell ref="C124:G124"/>
    <mergeCell ref="C125:G125"/>
    <mergeCell ref="C126:G126"/>
    <mergeCell ref="C128:G128"/>
    <mergeCell ref="A150:E150"/>
    <mergeCell ref="F150:G150"/>
    <mergeCell ref="I150:K150"/>
  </mergeCells>
  <hyperlinks>
    <hyperlink ref="C53" r:id="rId2" display="https://welfarefootprint.org/welfare-of-farmed-fish/"/>
    <hyperlink ref="J106" r:id="rId3" display="https://g.co/gemini/share/774fdafc8144"/>
    <hyperlink ref="A110" r:id="rId4" display="For bycatch and slippage estimates in cells G105-G108, please see Feeding global aquaculture (2024): https://www.science.org/doi/10.1126/sciadv.adn9698"/>
    <hyperlink ref="D143" r:id="rId5" display="https://edis.ifas.ufl.edu/sg078"/>
    <hyperlink ref="D144" r:id="rId6" display="http://animaldiversity.org/accounts/Chionoecetes_opilio/"/>
    <hyperlink ref="D145" r:id="rId7" display="https://caseagrant.ucsd.edu/seafood-profiles/dungeness-crab"/>
    <hyperlink ref="D146" r:id="rId8" display="https://www.alaskankingcrab.com/blogs/resources/blog-learn-the-anatomy-of-alaskan-king-crab"/>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Roman,Regular"&amp;12ffffff&amp;A</oddHeader>
    <oddFooter>&amp;C&amp;"Times New Roman,Regular"&amp;12ffffffPage &amp;P</oddFooter>
  </headerFooter>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654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1328125" defaultRowHeight="15" customHeight="true" zeroHeight="false" outlineLevelRow="0" outlineLevelCol="0"/>
  <cols>
    <col collapsed="false" customWidth="true" hidden="false" outlineLevel="0" max="1" min="1" style="1" width="52.29"/>
    <col collapsed="false" customWidth="true" hidden="false" outlineLevel="0" max="2" min="2" style="1" width="26.82"/>
    <col collapsed="false" customWidth="true" hidden="false" outlineLevel="0" max="3" min="3" style="1" width="43.11"/>
    <col collapsed="false" customWidth="true" hidden="false" outlineLevel="0" max="4" min="4" style="1" width="54.37"/>
    <col collapsed="false" customWidth="true" hidden="false" outlineLevel="0" max="5" min="5" style="1" width="54.51"/>
    <col collapsed="false" customWidth="true" hidden="false" outlineLevel="0" max="6" min="6" style="1" width="14.52"/>
    <col collapsed="false" customWidth="true" hidden="false" outlineLevel="0" max="7" min="7" style="1" width="22.79"/>
    <col collapsed="false" customWidth="true" hidden="false" outlineLevel="0" max="24" min="8" style="1" width="14.52"/>
  </cols>
  <sheetData>
    <row r="1" customFormat="false" ht="34.3" hidden="false" customHeight="true" outlineLevel="0" collapsed="false">
      <c r="A1" s="161" t="s">
        <v>325</v>
      </c>
      <c r="B1" s="162"/>
      <c r="C1" s="163"/>
      <c r="D1" s="2"/>
      <c r="E1" s="2"/>
      <c r="F1" s="2"/>
    </row>
    <row r="2" customFormat="false" ht="12.8" hidden="false" customHeight="true" outlineLevel="0" collapsed="false">
      <c r="A2" s="164"/>
      <c r="B2" s="162"/>
      <c r="C2" s="163"/>
      <c r="D2" s="2"/>
      <c r="E2" s="2"/>
      <c r="F2" s="2"/>
    </row>
    <row r="3" customFormat="false" ht="12.8" hidden="false" customHeight="true" outlineLevel="0" collapsed="false">
      <c r="A3" s="164"/>
      <c r="B3" s="162"/>
      <c r="C3" s="163"/>
      <c r="D3" s="2"/>
      <c r="E3" s="2"/>
      <c r="F3" s="2"/>
    </row>
    <row r="4" customFormat="false" ht="12.8" hidden="false" customHeight="true" outlineLevel="0" collapsed="false">
      <c r="A4" s="165"/>
      <c r="B4" s="166" t="s">
        <v>326</v>
      </c>
      <c r="C4" s="167" t="s">
        <v>327</v>
      </c>
      <c r="D4" s="167"/>
      <c r="E4" s="167"/>
      <c r="F4" s="167"/>
    </row>
    <row r="5" customFormat="false" ht="12.8" hidden="false" customHeight="true" outlineLevel="0" collapsed="false">
      <c r="A5" s="168" t="s">
        <v>328</v>
      </c>
      <c r="B5" s="120" t="n">
        <f aca="false">'Fish and shellfish calculation'!G108</f>
        <v>851608333333.333</v>
      </c>
      <c r="C5" s="169"/>
      <c r="D5" s="169"/>
      <c r="E5" s="169"/>
      <c r="F5" s="169"/>
    </row>
    <row r="6" customFormat="false" ht="12.8" hidden="false" customHeight="true" outlineLevel="0" collapsed="false">
      <c r="A6" s="168" t="s">
        <v>329</v>
      </c>
      <c r="B6" s="170" t="n">
        <v>0.83</v>
      </c>
      <c r="C6" s="120" t="s">
        <v>330</v>
      </c>
      <c r="D6" s="120"/>
      <c r="E6" s="120"/>
      <c r="F6" s="171"/>
    </row>
    <row r="7" customFormat="false" ht="12.8" hidden="false" customHeight="true" outlineLevel="0" collapsed="false">
      <c r="A7" s="168" t="s">
        <v>331</v>
      </c>
      <c r="B7" s="172" t="n">
        <f aca="false">1-B6</f>
        <v>0.17</v>
      </c>
      <c r="D7" s="120"/>
      <c r="E7" s="120"/>
      <c r="F7" s="171"/>
    </row>
    <row r="8" customFormat="false" ht="12.8" hidden="false" customHeight="true" outlineLevel="0" collapsed="false">
      <c r="A8" s="168" t="s">
        <v>332</v>
      </c>
      <c r="B8" s="173" t="n">
        <f aca="false">B6*B5</f>
        <v>706834916666.667</v>
      </c>
      <c r="D8" s="120"/>
      <c r="E8" s="120"/>
      <c r="F8" s="171"/>
    </row>
    <row r="9" customFormat="false" ht="12.8" hidden="false" customHeight="true" outlineLevel="0" collapsed="false">
      <c r="A9" s="168" t="s">
        <v>333</v>
      </c>
      <c r="B9" s="173" t="n">
        <f aca="false">B7*B5</f>
        <v>144773416666.667</v>
      </c>
      <c r="D9" s="120"/>
      <c r="E9" s="120"/>
      <c r="F9" s="171"/>
    </row>
    <row r="10" customFormat="false" ht="15.75" hidden="false" customHeight="true" outlineLevel="0" collapsed="false">
      <c r="A10" s="168" t="s">
        <v>334</v>
      </c>
      <c r="B10" s="120" t="n">
        <v>1511950905</v>
      </c>
      <c r="C10" s="169" t="s">
        <v>335</v>
      </c>
      <c r="D10" s="169"/>
      <c r="E10" s="169"/>
      <c r="F10" s="169"/>
      <c r="G10" s="2"/>
    </row>
    <row r="11" customFormat="false" ht="17.9" hidden="false" customHeight="true" outlineLevel="0" collapsed="false">
      <c r="A11" s="39" t="s">
        <v>336</v>
      </c>
      <c r="B11" s="170" t="n">
        <v>0.07</v>
      </c>
      <c r="C11" s="2" t="s">
        <v>337</v>
      </c>
      <c r="D11" s="174" t="s">
        <v>338</v>
      </c>
      <c r="E11" s="174"/>
      <c r="F11" s="120"/>
    </row>
    <row r="12" customFormat="false" ht="15.75" hidden="false" customHeight="true" outlineLevel="0" collapsed="false">
      <c r="A12" s="175" t="s">
        <v>339</v>
      </c>
      <c r="B12" s="170" t="n">
        <f aca="false">(0.07*B8)/B10</f>
        <v>32.7249013199054</v>
      </c>
      <c r="C12" s="169"/>
      <c r="D12" s="169"/>
      <c r="E12" s="169"/>
      <c r="F12" s="169"/>
      <c r="G12" s="2"/>
    </row>
    <row r="13" customFormat="false" ht="15.75" hidden="false" customHeight="true" outlineLevel="0" collapsed="false">
      <c r="A13" s="168"/>
      <c r="B13" s="173"/>
      <c r="C13" s="2"/>
      <c r="D13" s="2"/>
      <c r="E13" s="2"/>
      <c r="F13" s="171"/>
    </row>
    <row r="14" customFormat="false" ht="15.75" hidden="false" customHeight="true" outlineLevel="0" collapsed="false">
      <c r="A14" s="176" t="s">
        <v>340</v>
      </c>
      <c r="B14" s="177"/>
      <c r="C14" s="2"/>
      <c r="D14" s="2"/>
      <c r="E14" s="2"/>
      <c r="F14" s="171"/>
    </row>
    <row r="15" customFormat="false" ht="15.75" hidden="false" customHeight="true" outlineLevel="0" collapsed="false">
      <c r="A15" s="168" t="s">
        <v>341</v>
      </c>
      <c r="B15" s="173" t="n">
        <f aca="false">0.01*B8</f>
        <v>7068349166.66667</v>
      </c>
      <c r="C15" s="2"/>
      <c r="D15" s="2"/>
      <c r="E15" s="2"/>
      <c r="F15" s="171"/>
    </row>
    <row r="16" customFormat="false" ht="15.75" hidden="false" customHeight="true" outlineLevel="0" collapsed="false">
      <c r="A16" s="168" t="s">
        <v>342</v>
      </c>
      <c r="B16" s="173" t="n">
        <v>49</v>
      </c>
      <c r="D16" s="120"/>
      <c r="F16" s="171"/>
      <c r="H16" s="120"/>
      <c r="J16" s="120"/>
      <c r="L16" s="120"/>
      <c r="N16" s="120"/>
      <c r="P16" s="120"/>
      <c r="R16" s="120"/>
      <c r="T16" s="120"/>
      <c r="V16" s="120"/>
      <c r="X16" s="120"/>
      <c r="Y16" s="1"/>
      <c r="Z16" s="120"/>
      <c r="AA16" s="1"/>
      <c r="AB16" s="120"/>
      <c r="AC16" s="1"/>
      <c r="AD16" s="120"/>
      <c r="AE16" s="1"/>
      <c r="AF16" s="120"/>
      <c r="AG16" s="1"/>
      <c r="AH16" s="120"/>
      <c r="AI16" s="1"/>
      <c r="AJ16" s="120"/>
      <c r="AK16" s="1"/>
      <c r="AL16" s="120"/>
      <c r="AM16" s="1"/>
      <c r="AN16" s="120"/>
      <c r="AO16" s="1"/>
      <c r="AP16" s="120"/>
      <c r="AQ16" s="1"/>
      <c r="AR16" s="120"/>
      <c r="AS16" s="1"/>
      <c r="AT16" s="120"/>
      <c r="AU16" s="1"/>
      <c r="AV16" s="120"/>
      <c r="AW16" s="1"/>
      <c r="AX16" s="120"/>
      <c r="AY16" s="1"/>
      <c r="AZ16" s="120"/>
      <c r="BA16" s="1"/>
      <c r="BB16" s="120"/>
      <c r="BC16" s="1"/>
      <c r="BD16" s="120"/>
      <c r="BE16" s="1"/>
      <c r="BF16" s="120"/>
      <c r="BG16" s="1"/>
      <c r="BH16" s="120"/>
      <c r="BI16" s="1"/>
      <c r="BJ16" s="120"/>
      <c r="BK16" s="1"/>
      <c r="BL16" s="120"/>
      <c r="BM16" s="1"/>
      <c r="BN16" s="120"/>
      <c r="BO16" s="1"/>
      <c r="BP16" s="120"/>
      <c r="BQ16" s="1"/>
      <c r="BR16" s="120"/>
      <c r="BS16" s="1"/>
      <c r="BT16" s="120"/>
      <c r="BU16" s="1"/>
      <c r="BV16" s="120"/>
      <c r="BW16" s="1"/>
      <c r="BX16" s="120"/>
      <c r="BY16" s="1"/>
      <c r="BZ16" s="120"/>
      <c r="CA16" s="1"/>
      <c r="CB16" s="120"/>
      <c r="CC16" s="1"/>
      <c r="CD16" s="120"/>
      <c r="CE16" s="1"/>
      <c r="CF16" s="120"/>
      <c r="CG16" s="1"/>
      <c r="CH16" s="120"/>
      <c r="CI16" s="1"/>
      <c r="CJ16" s="120"/>
      <c r="CK16" s="1"/>
      <c r="CL16" s="120"/>
      <c r="CM16" s="1"/>
      <c r="CN16" s="120"/>
      <c r="CO16" s="1"/>
      <c r="CP16" s="120"/>
      <c r="CQ16" s="1"/>
      <c r="CR16" s="120"/>
      <c r="CS16" s="1"/>
      <c r="CT16" s="120"/>
      <c r="CU16" s="1"/>
      <c r="CV16" s="120"/>
      <c r="CW16" s="1"/>
      <c r="CX16" s="120"/>
      <c r="CY16" s="1"/>
      <c r="CZ16" s="120"/>
      <c r="DA16" s="1"/>
      <c r="DB16" s="120"/>
      <c r="DC16" s="1"/>
      <c r="DD16" s="120"/>
      <c r="DE16" s="1"/>
      <c r="DF16" s="120"/>
      <c r="DG16" s="1"/>
      <c r="DH16" s="120"/>
      <c r="DI16" s="1"/>
      <c r="DJ16" s="120"/>
      <c r="DK16" s="1"/>
      <c r="DL16" s="120"/>
      <c r="DM16" s="1"/>
      <c r="DN16" s="120"/>
      <c r="DO16" s="1"/>
      <c r="DP16" s="120"/>
      <c r="DQ16" s="1"/>
      <c r="DR16" s="120"/>
      <c r="DS16" s="1"/>
      <c r="DT16" s="120"/>
      <c r="DU16" s="1"/>
      <c r="DV16" s="120"/>
      <c r="DW16" s="1"/>
      <c r="DX16" s="120"/>
      <c r="DY16" s="1"/>
      <c r="DZ16" s="120"/>
      <c r="EA16" s="1"/>
      <c r="EB16" s="120"/>
      <c r="EC16" s="1"/>
      <c r="ED16" s="120"/>
      <c r="EE16" s="1"/>
      <c r="EF16" s="120"/>
      <c r="EG16" s="1"/>
      <c r="EH16" s="120"/>
      <c r="EI16" s="1"/>
      <c r="EJ16" s="120"/>
      <c r="EK16" s="1"/>
      <c r="EL16" s="120"/>
      <c r="EM16" s="1"/>
      <c r="EN16" s="120"/>
      <c r="EO16" s="1"/>
      <c r="EP16" s="120"/>
      <c r="EQ16" s="1"/>
      <c r="ER16" s="120"/>
      <c r="ES16" s="1"/>
      <c r="ET16" s="120"/>
      <c r="EU16" s="1"/>
      <c r="EV16" s="120"/>
      <c r="EW16" s="1"/>
      <c r="EX16" s="120"/>
      <c r="EY16" s="1"/>
      <c r="EZ16" s="120"/>
      <c r="FA16" s="1"/>
      <c r="FB16" s="120"/>
      <c r="FC16" s="1"/>
      <c r="FD16" s="120"/>
      <c r="FE16" s="1"/>
      <c r="FF16" s="120"/>
      <c r="FG16" s="1"/>
      <c r="FH16" s="120"/>
      <c r="FI16" s="1"/>
      <c r="FJ16" s="120"/>
      <c r="FK16" s="1"/>
      <c r="FL16" s="120"/>
      <c r="FM16" s="1"/>
      <c r="FN16" s="120"/>
      <c r="FO16" s="1"/>
      <c r="FP16" s="120"/>
      <c r="FQ16" s="1"/>
      <c r="FR16" s="120"/>
      <c r="FS16" s="1"/>
      <c r="FT16" s="120"/>
      <c r="FU16" s="1"/>
      <c r="FV16" s="120"/>
      <c r="FW16" s="1"/>
      <c r="FX16" s="120"/>
      <c r="FY16" s="1"/>
      <c r="FZ16" s="120"/>
      <c r="GA16" s="1"/>
      <c r="GB16" s="120"/>
      <c r="GC16" s="1"/>
      <c r="GD16" s="120"/>
      <c r="GE16" s="1"/>
      <c r="GF16" s="120"/>
      <c r="GG16" s="1"/>
      <c r="GH16" s="120"/>
      <c r="GI16" s="1"/>
      <c r="GJ16" s="120"/>
      <c r="GK16" s="1"/>
      <c r="GL16" s="120"/>
      <c r="GM16" s="1"/>
      <c r="GN16" s="120"/>
      <c r="GO16" s="1"/>
      <c r="GP16" s="120"/>
      <c r="GQ16" s="1"/>
      <c r="GR16" s="120"/>
      <c r="GS16" s="1"/>
      <c r="GT16" s="120"/>
      <c r="GU16" s="1"/>
      <c r="GV16" s="120"/>
      <c r="GW16" s="1"/>
      <c r="GX16" s="120"/>
      <c r="GY16" s="1"/>
      <c r="GZ16" s="120"/>
      <c r="HA16" s="1"/>
      <c r="HB16" s="120"/>
      <c r="HC16" s="1"/>
      <c r="HD16" s="120"/>
      <c r="HE16" s="1"/>
      <c r="HF16" s="120"/>
      <c r="HG16" s="1"/>
      <c r="HH16" s="120"/>
      <c r="HI16" s="1"/>
      <c r="HJ16" s="120"/>
      <c r="HK16" s="1"/>
      <c r="HL16" s="120"/>
      <c r="HM16" s="1"/>
      <c r="HN16" s="120"/>
      <c r="HO16" s="1"/>
      <c r="HP16" s="120"/>
      <c r="HQ16" s="1"/>
      <c r="HR16" s="120"/>
      <c r="HS16" s="1"/>
      <c r="HT16" s="120"/>
      <c r="HU16" s="1"/>
      <c r="HV16" s="120"/>
      <c r="HW16" s="1"/>
      <c r="HX16" s="120"/>
      <c r="HY16" s="1"/>
      <c r="HZ16" s="120"/>
      <c r="IA16" s="1"/>
      <c r="IB16" s="120"/>
      <c r="IC16" s="1"/>
      <c r="ID16" s="120"/>
      <c r="IE16" s="1"/>
      <c r="IF16" s="120"/>
      <c r="IG16" s="1"/>
      <c r="IH16" s="120"/>
      <c r="II16" s="1"/>
      <c r="IJ16" s="120"/>
      <c r="IK16" s="1"/>
      <c r="IL16" s="120"/>
      <c r="IM16" s="1"/>
      <c r="IN16" s="120"/>
      <c r="IO16" s="1"/>
      <c r="IP16" s="120"/>
      <c r="IQ16" s="1"/>
      <c r="IR16" s="120"/>
      <c r="IS16" s="1"/>
      <c r="IT16" s="120"/>
      <c r="IU16" s="1"/>
      <c r="IV16" s="120"/>
      <c r="IW16" s="1"/>
    </row>
    <row r="17" customFormat="false" ht="15.75" hidden="false" customHeight="true" outlineLevel="0" collapsed="false">
      <c r="A17" s="168" t="s">
        <v>343</v>
      </c>
      <c r="B17" s="173" t="n">
        <v>680</v>
      </c>
      <c r="D17" s="120"/>
      <c r="F17" s="171"/>
      <c r="H17" s="120"/>
      <c r="J17" s="120"/>
      <c r="L17" s="120"/>
      <c r="N17" s="120"/>
      <c r="P17" s="120"/>
      <c r="R17" s="120"/>
      <c r="T17" s="120"/>
      <c r="V17" s="120"/>
      <c r="X17" s="120"/>
      <c r="Y17" s="1"/>
      <c r="Z17" s="120"/>
      <c r="AA17" s="1"/>
      <c r="AB17" s="120"/>
      <c r="AC17" s="1"/>
      <c r="AD17" s="120"/>
      <c r="AE17" s="1"/>
      <c r="AF17" s="120"/>
      <c r="AG17" s="1"/>
      <c r="AH17" s="120"/>
      <c r="AI17" s="1"/>
      <c r="AJ17" s="120"/>
      <c r="AK17" s="1"/>
      <c r="AL17" s="120"/>
      <c r="AM17" s="1"/>
      <c r="AN17" s="120"/>
      <c r="AO17" s="1"/>
      <c r="AP17" s="120"/>
      <c r="AQ17" s="1"/>
      <c r="AR17" s="120"/>
      <c r="AS17" s="1"/>
      <c r="AT17" s="120"/>
      <c r="AU17" s="1"/>
      <c r="AV17" s="120"/>
      <c r="AW17" s="1"/>
      <c r="AX17" s="120"/>
      <c r="AY17" s="1"/>
      <c r="AZ17" s="120"/>
      <c r="BA17" s="1"/>
      <c r="BB17" s="120"/>
      <c r="BC17" s="1"/>
      <c r="BD17" s="120"/>
      <c r="BE17" s="1"/>
      <c r="BF17" s="120"/>
      <c r="BG17" s="1"/>
      <c r="BH17" s="120"/>
      <c r="BI17" s="1"/>
      <c r="BJ17" s="120"/>
      <c r="BK17" s="1"/>
      <c r="BL17" s="120"/>
      <c r="BM17" s="1"/>
      <c r="BN17" s="120"/>
      <c r="BO17" s="1"/>
      <c r="BP17" s="120"/>
      <c r="BQ17" s="1"/>
      <c r="BR17" s="120"/>
      <c r="BS17" s="1"/>
      <c r="BT17" s="120"/>
      <c r="BU17" s="1"/>
      <c r="BV17" s="120"/>
      <c r="BW17" s="1"/>
      <c r="BX17" s="120"/>
      <c r="BY17" s="1"/>
      <c r="BZ17" s="120"/>
      <c r="CA17" s="1"/>
      <c r="CB17" s="120"/>
      <c r="CC17" s="1"/>
      <c r="CD17" s="120"/>
      <c r="CE17" s="1"/>
      <c r="CF17" s="120"/>
      <c r="CG17" s="1"/>
      <c r="CH17" s="120"/>
      <c r="CI17" s="1"/>
      <c r="CJ17" s="120"/>
      <c r="CK17" s="1"/>
      <c r="CL17" s="120"/>
      <c r="CM17" s="1"/>
      <c r="CN17" s="120"/>
      <c r="CO17" s="1"/>
      <c r="CP17" s="120"/>
      <c r="CQ17" s="1"/>
      <c r="CR17" s="120"/>
      <c r="CS17" s="1"/>
      <c r="CT17" s="120"/>
      <c r="CU17" s="1"/>
      <c r="CV17" s="120"/>
      <c r="CW17" s="1"/>
      <c r="CX17" s="120"/>
      <c r="CY17" s="1"/>
      <c r="CZ17" s="120"/>
      <c r="DA17" s="1"/>
      <c r="DB17" s="120"/>
      <c r="DC17" s="1"/>
      <c r="DD17" s="120"/>
      <c r="DE17" s="1"/>
      <c r="DF17" s="120"/>
      <c r="DG17" s="1"/>
      <c r="DH17" s="120"/>
      <c r="DI17" s="1"/>
      <c r="DJ17" s="120"/>
      <c r="DK17" s="1"/>
      <c r="DL17" s="120"/>
      <c r="DM17" s="1"/>
      <c r="DN17" s="120"/>
      <c r="DO17" s="1"/>
      <c r="DP17" s="120"/>
      <c r="DQ17" s="1"/>
      <c r="DR17" s="120"/>
      <c r="DS17" s="1"/>
      <c r="DT17" s="120"/>
      <c r="DU17" s="1"/>
      <c r="DV17" s="120"/>
      <c r="DW17" s="1"/>
      <c r="DX17" s="120"/>
      <c r="DY17" s="1"/>
      <c r="DZ17" s="120"/>
      <c r="EA17" s="1"/>
      <c r="EB17" s="120"/>
      <c r="EC17" s="1"/>
      <c r="ED17" s="120"/>
      <c r="EE17" s="1"/>
      <c r="EF17" s="120"/>
      <c r="EG17" s="1"/>
      <c r="EH17" s="120"/>
      <c r="EI17" s="1"/>
      <c r="EJ17" s="120"/>
      <c r="EK17" s="1"/>
      <c r="EL17" s="120"/>
      <c r="EM17" s="1"/>
      <c r="EN17" s="120"/>
      <c r="EO17" s="1"/>
      <c r="EP17" s="120"/>
      <c r="EQ17" s="1"/>
      <c r="ER17" s="120"/>
      <c r="ES17" s="1"/>
      <c r="ET17" s="120"/>
      <c r="EU17" s="1"/>
      <c r="EV17" s="120"/>
      <c r="EW17" s="1"/>
      <c r="EX17" s="120"/>
      <c r="EY17" s="1"/>
      <c r="EZ17" s="120"/>
      <c r="FA17" s="1"/>
      <c r="FB17" s="120"/>
      <c r="FC17" s="1"/>
      <c r="FD17" s="120"/>
      <c r="FE17" s="1"/>
      <c r="FF17" s="120"/>
      <c r="FG17" s="1"/>
      <c r="FH17" s="120"/>
      <c r="FI17" s="1"/>
      <c r="FJ17" s="120"/>
      <c r="FK17" s="1"/>
      <c r="FL17" s="120"/>
      <c r="FM17" s="1"/>
      <c r="FN17" s="120"/>
      <c r="FO17" s="1"/>
      <c r="FP17" s="120"/>
      <c r="FQ17" s="1"/>
      <c r="FR17" s="120"/>
      <c r="FS17" s="1"/>
      <c r="FT17" s="120"/>
      <c r="FU17" s="1"/>
      <c r="FV17" s="120"/>
      <c r="FW17" s="1"/>
      <c r="FX17" s="120"/>
      <c r="FY17" s="1"/>
      <c r="FZ17" s="120"/>
      <c r="GA17" s="1"/>
      <c r="GB17" s="120"/>
      <c r="GC17" s="1"/>
      <c r="GD17" s="120"/>
      <c r="GE17" s="1"/>
      <c r="GF17" s="120"/>
      <c r="GG17" s="1"/>
      <c r="GH17" s="120"/>
      <c r="GI17" s="1"/>
      <c r="GJ17" s="120"/>
      <c r="GK17" s="1"/>
      <c r="GL17" s="120"/>
      <c r="GM17" s="1"/>
      <c r="GN17" s="120"/>
      <c r="GO17" s="1"/>
      <c r="GP17" s="120"/>
      <c r="GQ17" s="1"/>
      <c r="GR17" s="120"/>
      <c r="GS17" s="1"/>
      <c r="GT17" s="120"/>
      <c r="GU17" s="1"/>
      <c r="GV17" s="120"/>
      <c r="GW17" s="1"/>
      <c r="GX17" s="120"/>
      <c r="GY17" s="1"/>
      <c r="GZ17" s="120"/>
      <c r="HA17" s="1"/>
      <c r="HB17" s="120"/>
      <c r="HC17" s="1"/>
      <c r="HD17" s="120"/>
      <c r="HE17" s="1"/>
      <c r="HF17" s="120"/>
      <c r="HG17" s="1"/>
      <c r="HH17" s="120"/>
      <c r="HI17" s="1"/>
      <c r="HJ17" s="120"/>
      <c r="HK17" s="1"/>
      <c r="HL17" s="120"/>
      <c r="HM17" s="1"/>
      <c r="HN17" s="120"/>
      <c r="HO17" s="1"/>
      <c r="HP17" s="120"/>
      <c r="HQ17" s="1"/>
      <c r="HR17" s="120"/>
      <c r="HS17" s="1"/>
      <c r="HT17" s="120"/>
      <c r="HU17" s="1"/>
      <c r="HV17" s="120"/>
      <c r="HW17" s="1"/>
      <c r="HX17" s="120"/>
      <c r="HY17" s="1"/>
      <c r="HZ17" s="120"/>
      <c r="IA17" s="1"/>
      <c r="IB17" s="120"/>
      <c r="IC17" s="1"/>
      <c r="ID17" s="120"/>
      <c r="IE17" s="1"/>
      <c r="IF17" s="120"/>
      <c r="IG17" s="1"/>
      <c r="IH17" s="120"/>
      <c r="II17" s="1"/>
      <c r="IJ17" s="120"/>
      <c r="IK17" s="1"/>
      <c r="IL17" s="120"/>
      <c r="IM17" s="1"/>
      <c r="IN17" s="120"/>
      <c r="IO17" s="1"/>
      <c r="IP17" s="120"/>
      <c r="IQ17" s="1"/>
      <c r="IR17" s="120"/>
      <c r="IS17" s="1"/>
      <c r="IT17" s="120"/>
      <c r="IU17" s="1"/>
      <c r="IV17" s="120"/>
      <c r="IW17" s="1"/>
    </row>
    <row r="18" customFormat="false" ht="15.75" hidden="false" customHeight="true" outlineLevel="0" collapsed="false">
      <c r="A18" s="168" t="s">
        <v>344</v>
      </c>
      <c r="B18" s="178" t="n">
        <v>0.5</v>
      </c>
      <c r="F18" s="171"/>
    </row>
    <row r="19" customFormat="false" ht="15.75" hidden="false" customHeight="true" outlineLevel="0" collapsed="false">
      <c r="A19" s="168" t="s">
        <v>345</v>
      </c>
      <c r="B19" s="173" t="n">
        <v>76245629000</v>
      </c>
      <c r="C19" s="169" t="s">
        <v>346</v>
      </c>
      <c r="D19" s="169"/>
      <c r="E19" s="169"/>
      <c r="F19" s="169"/>
    </row>
    <row r="20" customFormat="false" ht="15.75" hidden="false" customHeight="true" outlineLevel="0" collapsed="false">
      <c r="A20" s="168" t="s">
        <v>347</v>
      </c>
      <c r="B20" s="173" t="n">
        <v>8300000000</v>
      </c>
      <c r="C20" s="1" t="s">
        <v>348</v>
      </c>
      <c r="F20" s="171"/>
    </row>
    <row r="21" customFormat="false" ht="15.75" hidden="false" customHeight="true" outlineLevel="0" collapsed="false">
      <c r="A21" s="168"/>
      <c r="B21" s="173"/>
      <c r="C21" s="169"/>
      <c r="D21" s="169"/>
      <c r="E21" s="169"/>
      <c r="F21" s="169"/>
    </row>
    <row r="22" customFormat="false" ht="15.75" hidden="false" customHeight="true" outlineLevel="0" collapsed="false">
      <c r="A22" s="168" t="s">
        <v>349</v>
      </c>
      <c r="B22" s="179" t="n">
        <f aca="false">B19*B16</f>
        <v>3736035821000</v>
      </c>
      <c r="F22" s="171"/>
    </row>
    <row r="23" customFormat="false" ht="15.75" hidden="false" customHeight="true" outlineLevel="0" collapsed="false">
      <c r="A23" s="168" t="s">
        <v>350</v>
      </c>
      <c r="B23" s="179" t="n">
        <f aca="false">B20*B18*365</f>
        <v>1514750000000</v>
      </c>
      <c r="F23" s="171"/>
    </row>
    <row r="24" customFormat="false" ht="15.75" hidden="false" customHeight="true" outlineLevel="0" collapsed="false">
      <c r="A24" s="168" t="s">
        <v>351</v>
      </c>
      <c r="B24" s="179" t="n">
        <f aca="false">B22+B23</f>
        <v>5250785821000</v>
      </c>
      <c r="C24" s="1" t="s">
        <v>352</v>
      </c>
      <c r="D24" s="1" t="s">
        <v>352</v>
      </c>
      <c r="F24" s="171"/>
    </row>
    <row r="25" customFormat="false" ht="32.8" hidden="false" customHeight="true" outlineLevel="0" collapsed="false">
      <c r="A25" s="168" t="s">
        <v>353</v>
      </c>
      <c r="B25" s="180" t="n">
        <f aca="false">B15/B24</f>
        <v>0.00134615073012453</v>
      </c>
      <c r="C25" s="134"/>
      <c r="F25" s="171"/>
    </row>
    <row r="26" customFormat="false" ht="14.9" hidden="false" customHeight="true" outlineLevel="0" collapsed="false">
      <c r="A26" s="168" t="s">
        <v>354</v>
      </c>
      <c r="B26" s="180" t="n">
        <f aca="false">B25*B18</f>
        <v>0.000673075365062264</v>
      </c>
      <c r="C26" s="134"/>
      <c r="F26" s="171"/>
    </row>
    <row r="27" customFormat="false" ht="15.75" hidden="false" customHeight="true" outlineLevel="0" collapsed="false">
      <c r="A27" s="176" t="s">
        <v>355</v>
      </c>
      <c r="B27" s="181" t="n">
        <f aca="false">B25*B16</f>
        <v>0.0659613857761019</v>
      </c>
      <c r="C27" s="134" t="s">
        <v>352</v>
      </c>
      <c r="D27" s="1" t="s">
        <v>352</v>
      </c>
      <c r="F27" s="171"/>
    </row>
    <row r="28" customFormat="false" ht="17.9" hidden="false" customHeight="true" outlineLevel="0" collapsed="false">
      <c r="A28" s="182" t="s">
        <v>356</v>
      </c>
      <c r="B28" s="183" t="n">
        <f aca="false">B26*B17</f>
        <v>0.457691248242339</v>
      </c>
      <c r="C28" s="184"/>
      <c r="D28" s="185"/>
      <c r="E28" s="185"/>
      <c r="F28" s="186"/>
    </row>
    <row r="29" customFormat="false" ht="15.75" hidden="false" customHeight="true" outlineLevel="0" collapsed="false">
      <c r="B29" s="4"/>
      <c r="C29" s="2"/>
      <c r="D29" s="2"/>
      <c r="E29" s="2"/>
      <c r="F29" s="2"/>
    </row>
    <row r="30" customFormat="false" ht="15.75" hidden="false" customHeight="true" outlineLevel="0" collapsed="false">
      <c r="C30" s="2"/>
      <c r="D30" s="2"/>
      <c r="E30" s="2"/>
      <c r="F30" s="2"/>
    </row>
    <row r="31" customFormat="false" ht="15.75" hidden="false" customHeight="true" outlineLevel="0" collapsed="false">
      <c r="C31" s="2"/>
      <c r="D31" s="2"/>
      <c r="E31" s="2"/>
      <c r="F31" s="2"/>
    </row>
    <row r="32" customFormat="false" ht="15.75" hidden="false" customHeight="true" outlineLevel="0" collapsed="false">
      <c r="C32" s="2"/>
      <c r="D32" s="2"/>
      <c r="E32" s="2"/>
      <c r="F32" s="2"/>
    </row>
    <row r="33" customFormat="false" ht="15.75" hidden="false" customHeight="true" outlineLevel="0" collapsed="false">
      <c r="C33" s="2"/>
      <c r="D33" s="2"/>
      <c r="E33" s="2"/>
      <c r="F33" s="2"/>
    </row>
    <row r="34" customFormat="false" ht="15.75" hidden="false" customHeight="true" outlineLevel="0" collapsed="false">
      <c r="C34" s="2"/>
      <c r="D34" s="2"/>
      <c r="E34" s="2"/>
      <c r="F34" s="2"/>
    </row>
    <row r="35" customFormat="false" ht="15.75" hidden="false" customHeight="true" outlineLevel="0" collapsed="false">
      <c r="C35" s="2"/>
      <c r="D35" s="2"/>
      <c r="E35" s="2"/>
      <c r="F35" s="2"/>
    </row>
    <row r="36" customFormat="false" ht="15.75" hidden="false" customHeight="true" outlineLevel="0" collapsed="false">
      <c r="C36" s="2"/>
      <c r="D36" s="2"/>
      <c r="E36" s="2"/>
      <c r="F36" s="2"/>
    </row>
    <row r="37" customFormat="false" ht="15.75" hidden="false" customHeight="true" outlineLevel="0" collapsed="false">
      <c r="C37" s="2"/>
      <c r="D37" s="2"/>
      <c r="E37" s="2"/>
      <c r="F37" s="2"/>
    </row>
    <row r="38" customFormat="false" ht="15.75" hidden="false" customHeight="true" outlineLevel="0" collapsed="false">
      <c r="C38" s="2"/>
      <c r="D38" s="2"/>
      <c r="E38" s="2"/>
      <c r="F38" s="2"/>
    </row>
    <row r="39" customFormat="false" ht="15.75" hidden="false" customHeight="true" outlineLevel="0" collapsed="false">
      <c r="C39" s="2"/>
      <c r="D39" s="2"/>
      <c r="E39" s="2"/>
      <c r="F39" s="2"/>
    </row>
    <row r="40" customFormat="false" ht="15.75" hidden="false" customHeight="true" outlineLevel="0" collapsed="false">
      <c r="C40" s="2"/>
      <c r="D40" s="2"/>
      <c r="E40" s="2"/>
      <c r="F40" s="2"/>
    </row>
    <row r="41" customFormat="false" ht="15.75" hidden="false" customHeight="true" outlineLevel="0" collapsed="false">
      <c r="C41" s="2"/>
      <c r="D41" s="2"/>
      <c r="E41" s="2"/>
      <c r="F41" s="2"/>
    </row>
    <row r="42" customFormat="false" ht="15.75" hidden="false" customHeight="true" outlineLevel="0" collapsed="false">
      <c r="C42" s="2"/>
      <c r="D42" s="2"/>
      <c r="E42" s="2"/>
      <c r="F42" s="2"/>
    </row>
    <row r="43" customFormat="false" ht="15.75" hidden="false" customHeight="true" outlineLevel="0" collapsed="false">
      <c r="C43" s="2"/>
      <c r="D43" s="2"/>
      <c r="E43" s="2"/>
      <c r="F43" s="2"/>
    </row>
    <row r="44" customFormat="false" ht="15.75" hidden="false" customHeight="true" outlineLevel="0" collapsed="false">
      <c r="C44" s="2"/>
      <c r="D44" s="2"/>
      <c r="E44" s="2"/>
      <c r="F44" s="2"/>
    </row>
    <row r="45" customFormat="false" ht="15.75" hidden="false" customHeight="true" outlineLevel="0" collapsed="false">
      <c r="C45" s="2"/>
      <c r="D45" s="2"/>
      <c r="E45" s="2"/>
      <c r="F45" s="2"/>
    </row>
    <row r="46" customFormat="false" ht="15.75" hidden="false" customHeight="true" outlineLevel="0" collapsed="false">
      <c r="C46" s="2"/>
      <c r="D46" s="2"/>
      <c r="E46" s="2"/>
      <c r="F46" s="2"/>
    </row>
    <row r="47" customFormat="false" ht="15.75" hidden="false" customHeight="true" outlineLevel="0" collapsed="false">
      <c r="C47" s="2"/>
      <c r="D47" s="2"/>
      <c r="E47" s="2"/>
      <c r="F47" s="2"/>
    </row>
    <row r="48" customFormat="false" ht="15.75" hidden="false" customHeight="true" outlineLevel="0" collapsed="false">
      <c r="C48" s="2"/>
      <c r="D48" s="2"/>
      <c r="E48" s="2"/>
      <c r="F48" s="2"/>
    </row>
    <row r="49" customFormat="false" ht="15.75" hidden="false" customHeight="true" outlineLevel="0" collapsed="false">
      <c r="C49" s="2"/>
      <c r="D49" s="2"/>
      <c r="E49" s="2"/>
      <c r="F49" s="2"/>
    </row>
    <row r="50" customFormat="false" ht="15.75" hidden="false" customHeight="true" outlineLevel="0" collapsed="false">
      <c r="C50" s="2"/>
      <c r="D50" s="2"/>
      <c r="E50" s="2"/>
      <c r="F50" s="2"/>
    </row>
    <row r="51" customFormat="false" ht="15.75" hidden="false" customHeight="true" outlineLevel="0" collapsed="false">
      <c r="C51" s="2"/>
      <c r="D51" s="2"/>
      <c r="E51" s="2"/>
      <c r="F51" s="2"/>
    </row>
    <row r="52" customFormat="false" ht="15.75" hidden="false" customHeight="true" outlineLevel="0" collapsed="false">
      <c r="C52" s="2"/>
      <c r="D52" s="2"/>
      <c r="E52" s="2"/>
      <c r="F52" s="2"/>
    </row>
    <row r="53" customFormat="false" ht="15.75" hidden="false" customHeight="true" outlineLevel="0" collapsed="false">
      <c r="C53" s="2"/>
      <c r="D53" s="2"/>
      <c r="E53" s="2"/>
      <c r="F53" s="2"/>
    </row>
    <row r="54" customFormat="false" ht="15.75" hidden="false" customHeight="true" outlineLevel="0" collapsed="false">
      <c r="C54" s="2"/>
      <c r="D54" s="2"/>
      <c r="E54" s="2"/>
      <c r="F54" s="2"/>
    </row>
    <row r="55" customFormat="false" ht="15.75" hidden="false" customHeight="true" outlineLevel="0" collapsed="false">
      <c r="C55" s="2"/>
      <c r="D55" s="2"/>
      <c r="E55" s="2"/>
      <c r="F55" s="2"/>
    </row>
    <row r="56" customFormat="false" ht="15.75" hidden="false" customHeight="true" outlineLevel="0" collapsed="false">
      <c r="C56" s="2"/>
      <c r="D56" s="2"/>
      <c r="E56" s="2"/>
      <c r="F56" s="2"/>
    </row>
    <row r="57" customFormat="false" ht="15.75" hidden="false" customHeight="true" outlineLevel="0" collapsed="false">
      <c r="C57" s="2"/>
      <c r="D57" s="2"/>
      <c r="E57" s="2"/>
      <c r="F57" s="2"/>
    </row>
    <row r="58" customFormat="false" ht="15.75" hidden="false" customHeight="true" outlineLevel="0" collapsed="false">
      <c r="C58" s="2"/>
      <c r="D58" s="2"/>
      <c r="E58" s="2"/>
      <c r="F58" s="2"/>
    </row>
    <row r="59" customFormat="false" ht="15.75" hidden="false" customHeight="true" outlineLevel="0" collapsed="false">
      <c r="C59" s="2"/>
      <c r="D59" s="2"/>
      <c r="E59" s="2"/>
      <c r="F59" s="2"/>
    </row>
    <row r="60" customFormat="false" ht="15.75" hidden="false" customHeight="true" outlineLevel="0" collapsed="false">
      <c r="C60" s="2"/>
      <c r="D60" s="2"/>
      <c r="E60" s="2"/>
      <c r="F60" s="2"/>
    </row>
    <row r="61" customFormat="false" ht="15.75" hidden="false" customHeight="true" outlineLevel="0" collapsed="false">
      <c r="C61" s="2"/>
      <c r="D61" s="2"/>
      <c r="E61" s="2"/>
      <c r="F61" s="2"/>
    </row>
    <row r="62" customFormat="false" ht="15.75" hidden="false" customHeight="true" outlineLevel="0" collapsed="false">
      <c r="C62" s="2"/>
      <c r="D62" s="2"/>
      <c r="E62" s="2"/>
      <c r="F62" s="2"/>
    </row>
    <row r="63" customFormat="false" ht="15.75" hidden="false" customHeight="true" outlineLevel="0" collapsed="false">
      <c r="C63" s="2"/>
      <c r="D63" s="2"/>
      <c r="E63" s="2"/>
      <c r="F63" s="2"/>
    </row>
    <row r="64" customFormat="false" ht="15.75" hidden="false" customHeight="true" outlineLevel="0" collapsed="false">
      <c r="C64" s="2"/>
      <c r="D64" s="2"/>
      <c r="E64" s="2"/>
      <c r="F64" s="2"/>
    </row>
    <row r="65" customFormat="false" ht="15.75" hidden="false" customHeight="true" outlineLevel="0" collapsed="false">
      <c r="C65" s="2"/>
      <c r="D65" s="2"/>
      <c r="E65" s="2"/>
      <c r="F65" s="2"/>
    </row>
    <row r="66" customFormat="false" ht="15.75" hidden="false" customHeight="true" outlineLevel="0" collapsed="false">
      <c r="C66" s="2"/>
      <c r="D66" s="2"/>
      <c r="E66" s="2"/>
      <c r="F66" s="2"/>
    </row>
    <row r="67" customFormat="false" ht="15.75" hidden="false" customHeight="true" outlineLevel="0" collapsed="false">
      <c r="C67" s="2"/>
      <c r="D67" s="2"/>
      <c r="E67" s="2"/>
      <c r="F67" s="2"/>
    </row>
    <row r="68" customFormat="false" ht="15.75" hidden="false" customHeight="true" outlineLevel="0" collapsed="false">
      <c r="C68" s="2"/>
      <c r="D68" s="2"/>
      <c r="E68" s="2"/>
      <c r="F68" s="2"/>
    </row>
    <row r="69" customFormat="false" ht="15.75" hidden="false" customHeight="true" outlineLevel="0" collapsed="false">
      <c r="C69" s="2"/>
      <c r="D69" s="2"/>
      <c r="E69" s="2"/>
      <c r="F69" s="2"/>
    </row>
    <row r="70" customFormat="false" ht="15.75" hidden="false" customHeight="true" outlineLevel="0" collapsed="false">
      <c r="C70" s="2"/>
      <c r="D70" s="2"/>
      <c r="E70" s="2"/>
      <c r="F70" s="2"/>
    </row>
    <row r="71" customFormat="false" ht="15.75" hidden="false" customHeight="true" outlineLevel="0" collapsed="false">
      <c r="C71" s="2"/>
      <c r="D71" s="2"/>
      <c r="E71" s="2"/>
      <c r="F71" s="2"/>
    </row>
    <row r="72" customFormat="false" ht="15.75" hidden="false" customHeight="true" outlineLevel="0" collapsed="false">
      <c r="C72" s="2"/>
      <c r="D72" s="2"/>
      <c r="E72" s="2"/>
      <c r="F72" s="2"/>
    </row>
    <row r="73" customFormat="false" ht="15.75" hidden="false" customHeight="true" outlineLevel="0" collapsed="false">
      <c r="C73" s="2"/>
      <c r="D73" s="2"/>
      <c r="E73" s="2"/>
      <c r="F73" s="2"/>
    </row>
    <row r="74" customFormat="false" ht="15.75" hidden="false" customHeight="true" outlineLevel="0" collapsed="false">
      <c r="C74" s="2"/>
      <c r="D74" s="2"/>
      <c r="E74" s="2"/>
      <c r="F74" s="2"/>
    </row>
    <row r="75" customFormat="false" ht="15.75" hidden="false" customHeight="true" outlineLevel="0" collapsed="false">
      <c r="C75" s="2"/>
      <c r="D75" s="2"/>
      <c r="E75" s="2"/>
      <c r="F75" s="2"/>
    </row>
    <row r="76" customFormat="false" ht="15.75" hidden="false" customHeight="true" outlineLevel="0" collapsed="false">
      <c r="C76" s="2"/>
      <c r="D76" s="2"/>
      <c r="E76" s="2"/>
      <c r="F76" s="2"/>
    </row>
    <row r="77" customFormat="false" ht="15.75" hidden="false" customHeight="true" outlineLevel="0" collapsed="false">
      <c r="C77" s="2"/>
      <c r="D77" s="2"/>
      <c r="E77" s="2"/>
      <c r="F77" s="2"/>
    </row>
    <row r="78" customFormat="false" ht="15.75" hidden="false" customHeight="true" outlineLevel="0" collapsed="false">
      <c r="C78" s="2"/>
      <c r="D78" s="2"/>
      <c r="E78" s="2"/>
      <c r="F78" s="2"/>
    </row>
    <row r="79" customFormat="false" ht="15.75" hidden="false" customHeight="true" outlineLevel="0" collapsed="false">
      <c r="C79" s="2"/>
      <c r="D79" s="2"/>
      <c r="E79" s="2"/>
      <c r="F79" s="2"/>
    </row>
    <row r="80" customFormat="false" ht="15.75" hidden="false" customHeight="true" outlineLevel="0" collapsed="false">
      <c r="C80" s="2"/>
      <c r="D80" s="2"/>
      <c r="E80" s="2"/>
      <c r="F80" s="2"/>
    </row>
    <row r="81" customFormat="false" ht="15.75" hidden="false" customHeight="true" outlineLevel="0" collapsed="false">
      <c r="C81" s="2"/>
      <c r="D81" s="2"/>
      <c r="E81" s="2"/>
      <c r="F81" s="2"/>
    </row>
    <row r="82" customFormat="false" ht="15.75" hidden="false" customHeight="true" outlineLevel="0" collapsed="false">
      <c r="C82" s="2"/>
      <c r="D82" s="2"/>
      <c r="E82" s="2"/>
      <c r="F82" s="2"/>
    </row>
    <row r="83" customFormat="false" ht="15.75" hidden="false" customHeight="true" outlineLevel="0" collapsed="false">
      <c r="C83" s="2"/>
      <c r="D83" s="2"/>
      <c r="E83" s="2"/>
      <c r="F83" s="2"/>
    </row>
    <row r="84" customFormat="false" ht="15.75" hidden="false" customHeight="true" outlineLevel="0" collapsed="false">
      <c r="C84" s="2"/>
      <c r="D84" s="2"/>
      <c r="E84" s="2"/>
      <c r="F84" s="2"/>
    </row>
    <row r="85" customFormat="false" ht="15.75" hidden="false" customHeight="true" outlineLevel="0" collapsed="false">
      <c r="C85" s="2"/>
      <c r="D85" s="2"/>
      <c r="E85" s="2"/>
      <c r="F85" s="2"/>
    </row>
    <row r="86" customFormat="false" ht="15.75" hidden="false" customHeight="true" outlineLevel="0" collapsed="false">
      <c r="C86" s="2"/>
      <c r="D86" s="2"/>
      <c r="E86" s="2"/>
      <c r="F86" s="2"/>
    </row>
    <row r="87" customFormat="false" ht="15.75" hidden="false" customHeight="true" outlineLevel="0" collapsed="false">
      <c r="C87" s="2"/>
      <c r="D87" s="2"/>
      <c r="E87" s="2"/>
      <c r="F87" s="2"/>
    </row>
    <row r="88" customFormat="false" ht="15.75" hidden="false" customHeight="true" outlineLevel="0" collapsed="false">
      <c r="C88" s="2"/>
      <c r="D88" s="2"/>
      <c r="E88" s="2"/>
      <c r="F88" s="2"/>
    </row>
    <row r="89" customFormat="false" ht="15.75" hidden="false" customHeight="true" outlineLevel="0" collapsed="false">
      <c r="C89" s="2"/>
      <c r="D89" s="2"/>
      <c r="E89" s="2"/>
      <c r="F89" s="2"/>
    </row>
    <row r="90" customFormat="false" ht="15.75" hidden="false" customHeight="true" outlineLevel="0" collapsed="false">
      <c r="C90" s="2"/>
      <c r="D90" s="2"/>
      <c r="E90" s="2"/>
      <c r="F90" s="2"/>
    </row>
    <row r="91" customFormat="false" ht="15.75" hidden="false" customHeight="true" outlineLevel="0" collapsed="false">
      <c r="C91" s="2"/>
      <c r="D91" s="2"/>
      <c r="E91" s="2"/>
      <c r="F91" s="2"/>
    </row>
    <row r="92" customFormat="false" ht="15.75" hidden="false" customHeight="true" outlineLevel="0" collapsed="false">
      <c r="C92" s="2"/>
      <c r="D92" s="2"/>
      <c r="E92" s="2"/>
      <c r="F92" s="2"/>
    </row>
    <row r="93" customFormat="false" ht="15.75" hidden="false" customHeight="true" outlineLevel="0" collapsed="false">
      <c r="C93" s="2"/>
      <c r="D93" s="2"/>
      <c r="E93" s="2"/>
      <c r="F93" s="2"/>
    </row>
    <row r="94" customFormat="false" ht="15.75" hidden="false" customHeight="true" outlineLevel="0" collapsed="false">
      <c r="C94" s="2"/>
      <c r="D94" s="2"/>
      <c r="E94" s="2"/>
      <c r="F94" s="2"/>
    </row>
    <row r="95" customFormat="false" ht="15.75" hidden="false" customHeight="true" outlineLevel="0" collapsed="false">
      <c r="C95" s="2"/>
      <c r="D95" s="2"/>
      <c r="E95" s="2"/>
      <c r="F95" s="2"/>
    </row>
    <row r="96" customFormat="false" ht="15.75" hidden="false" customHeight="true" outlineLevel="0" collapsed="false">
      <c r="C96" s="2"/>
      <c r="D96" s="2"/>
      <c r="E96" s="2"/>
      <c r="F96" s="2"/>
    </row>
    <row r="97" customFormat="false" ht="15.75" hidden="false" customHeight="true" outlineLevel="0" collapsed="false">
      <c r="C97" s="2"/>
      <c r="D97" s="2"/>
      <c r="E97" s="2"/>
      <c r="F97" s="2"/>
    </row>
    <row r="98" customFormat="false" ht="15.75" hidden="false" customHeight="true" outlineLevel="0" collapsed="false">
      <c r="C98" s="2"/>
      <c r="D98" s="2"/>
      <c r="E98" s="2"/>
      <c r="F98" s="2"/>
    </row>
    <row r="99" customFormat="false" ht="15.75" hidden="false" customHeight="true" outlineLevel="0" collapsed="false">
      <c r="C99" s="2"/>
      <c r="D99" s="2"/>
      <c r="E99" s="2"/>
      <c r="F99" s="2"/>
    </row>
    <row r="100" customFormat="false" ht="15.75" hidden="false" customHeight="true" outlineLevel="0" collapsed="false">
      <c r="C100" s="2"/>
      <c r="D100" s="2"/>
      <c r="E100" s="2"/>
      <c r="F100" s="2"/>
    </row>
    <row r="101" customFormat="false" ht="15.75" hidden="false" customHeight="true" outlineLevel="0" collapsed="false">
      <c r="C101" s="2"/>
      <c r="D101" s="2"/>
      <c r="E101" s="2"/>
      <c r="F101" s="2"/>
    </row>
    <row r="102" customFormat="false" ht="15.75" hidden="false" customHeight="true" outlineLevel="0" collapsed="false">
      <c r="C102" s="2"/>
      <c r="D102" s="2"/>
      <c r="E102" s="2"/>
      <c r="F102" s="2"/>
    </row>
    <row r="103" customFormat="false" ht="15.75" hidden="false" customHeight="true" outlineLevel="0" collapsed="false">
      <c r="C103" s="2"/>
      <c r="D103" s="2"/>
      <c r="E103" s="2"/>
      <c r="F103" s="2"/>
    </row>
    <row r="104" customFormat="false" ht="15.75" hidden="false" customHeight="true" outlineLevel="0" collapsed="false">
      <c r="C104" s="2"/>
      <c r="D104" s="2"/>
      <c r="E104" s="2"/>
      <c r="F104" s="2"/>
    </row>
    <row r="105" customFormat="false" ht="15.75" hidden="false" customHeight="true" outlineLevel="0" collapsed="false">
      <c r="C105" s="2"/>
      <c r="D105" s="2"/>
      <c r="E105" s="2"/>
      <c r="F105" s="2"/>
    </row>
    <row r="106" customFormat="false" ht="15.75" hidden="false" customHeight="true" outlineLevel="0" collapsed="false">
      <c r="C106" s="2"/>
      <c r="D106" s="2"/>
      <c r="E106" s="2"/>
      <c r="F106" s="2"/>
    </row>
    <row r="107" customFormat="false" ht="15.75" hidden="false" customHeight="true" outlineLevel="0" collapsed="false">
      <c r="C107" s="2"/>
      <c r="D107" s="2"/>
      <c r="E107" s="2"/>
      <c r="F107" s="2"/>
    </row>
    <row r="108" customFormat="false" ht="15.75" hidden="false" customHeight="true" outlineLevel="0" collapsed="false">
      <c r="C108" s="2"/>
      <c r="D108" s="2"/>
      <c r="E108" s="2"/>
      <c r="F108" s="2"/>
    </row>
    <row r="109" customFormat="false" ht="15.75" hidden="false" customHeight="true" outlineLevel="0" collapsed="false">
      <c r="C109" s="2"/>
      <c r="D109" s="2"/>
      <c r="E109" s="2"/>
      <c r="F109" s="2"/>
    </row>
    <row r="110" customFormat="false" ht="15.75" hidden="false" customHeight="true" outlineLevel="0" collapsed="false">
      <c r="C110" s="2"/>
      <c r="D110" s="2"/>
      <c r="E110" s="2"/>
      <c r="F110" s="2"/>
    </row>
    <row r="111" customFormat="false" ht="15.75" hidden="false" customHeight="true" outlineLevel="0" collapsed="false">
      <c r="C111" s="2"/>
      <c r="D111" s="2"/>
      <c r="E111" s="2"/>
      <c r="F111" s="2"/>
    </row>
    <row r="112" customFormat="false" ht="15.75" hidden="false" customHeight="true" outlineLevel="0" collapsed="false">
      <c r="C112" s="2"/>
      <c r="D112" s="2"/>
      <c r="E112" s="2"/>
      <c r="F112" s="2"/>
    </row>
    <row r="113" customFormat="false" ht="15.75" hidden="false" customHeight="true" outlineLevel="0" collapsed="false">
      <c r="C113" s="2"/>
      <c r="D113" s="2"/>
      <c r="E113" s="2"/>
      <c r="F113" s="2"/>
    </row>
    <row r="114" customFormat="false" ht="15.75" hidden="false" customHeight="true" outlineLevel="0" collapsed="false">
      <c r="C114" s="2"/>
      <c r="D114" s="2"/>
      <c r="E114" s="2"/>
      <c r="F114" s="2"/>
    </row>
    <row r="115" customFormat="false" ht="15.75" hidden="false" customHeight="true" outlineLevel="0" collapsed="false">
      <c r="C115" s="2"/>
      <c r="D115" s="2"/>
      <c r="E115" s="2"/>
      <c r="F115" s="2"/>
    </row>
    <row r="116" customFormat="false" ht="15.75" hidden="false" customHeight="true" outlineLevel="0" collapsed="false">
      <c r="C116" s="2"/>
      <c r="D116" s="2"/>
      <c r="E116" s="2"/>
      <c r="F116" s="2"/>
    </row>
    <row r="117" customFormat="false" ht="15.75" hidden="false" customHeight="true" outlineLevel="0" collapsed="false">
      <c r="C117" s="2"/>
      <c r="D117" s="2"/>
      <c r="E117" s="2"/>
      <c r="F117" s="2"/>
    </row>
    <row r="118" customFormat="false" ht="15.75" hidden="false" customHeight="true" outlineLevel="0" collapsed="false">
      <c r="C118" s="2"/>
      <c r="D118" s="2"/>
      <c r="E118" s="2"/>
      <c r="F118" s="2"/>
    </row>
    <row r="119" customFormat="false" ht="15.75" hidden="false" customHeight="true" outlineLevel="0" collapsed="false">
      <c r="C119" s="2"/>
      <c r="D119" s="2"/>
      <c r="E119" s="2"/>
      <c r="F119" s="2"/>
    </row>
    <row r="120" customFormat="false" ht="15.75" hidden="false" customHeight="true" outlineLevel="0" collapsed="false">
      <c r="C120" s="2"/>
      <c r="D120" s="2"/>
      <c r="E120" s="2"/>
      <c r="F120" s="2"/>
    </row>
    <row r="121" customFormat="false" ht="15.75" hidden="false" customHeight="true" outlineLevel="0" collapsed="false">
      <c r="C121" s="2"/>
      <c r="D121" s="2"/>
      <c r="E121" s="2"/>
      <c r="F121" s="2"/>
    </row>
    <row r="122" customFormat="false" ht="15.75" hidden="false" customHeight="true" outlineLevel="0" collapsed="false">
      <c r="C122" s="2"/>
      <c r="D122" s="2"/>
      <c r="E122" s="2"/>
      <c r="F122" s="2"/>
    </row>
    <row r="123" customFormat="false" ht="15.75" hidden="false" customHeight="true" outlineLevel="0" collapsed="false">
      <c r="C123" s="2"/>
      <c r="D123" s="2"/>
      <c r="E123" s="2"/>
      <c r="F123" s="2"/>
    </row>
    <row r="124" customFormat="false" ht="15.75" hidden="false" customHeight="true" outlineLevel="0" collapsed="false">
      <c r="C124" s="2"/>
      <c r="D124" s="2"/>
      <c r="E124" s="2"/>
      <c r="F124" s="2"/>
    </row>
    <row r="125" customFormat="false" ht="15.75" hidden="false" customHeight="true" outlineLevel="0" collapsed="false">
      <c r="C125" s="2"/>
      <c r="D125" s="2"/>
      <c r="E125" s="2"/>
      <c r="F125" s="2"/>
    </row>
    <row r="126" customFormat="false" ht="15.75" hidden="false" customHeight="true" outlineLevel="0" collapsed="false">
      <c r="C126" s="2"/>
      <c r="D126" s="2"/>
      <c r="E126" s="2"/>
      <c r="F126" s="2"/>
    </row>
    <row r="127" customFormat="false" ht="15.75" hidden="false" customHeight="true" outlineLevel="0" collapsed="false">
      <c r="C127" s="2"/>
      <c r="D127" s="2"/>
      <c r="E127" s="2"/>
      <c r="F127" s="2"/>
    </row>
    <row r="128" customFormat="false" ht="15.75" hidden="false" customHeight="true" outlineLevel="0" collapsed="false">
      <c r="C128" s="2"/>
      <c r="D128" s="2"/>
      <c r="E128" s="2"/>
      <c r="F128" s="2"/>
    </row>
    <row r="129" customFormat="false" ht="15.75" hidden="false" customHeight="true" outlineLevel="0" collapsed="false">
      <c r="C129" s="2"/>
      <c r="D129" s="2"/>
      <c r="E129" s="2"/>
      <c r="F129" s="2"/>
    </row>
    <row r="130" customFormat="false" ht="15.75" hidden="false" customHeight="true" outlineLevel="0" collapsed="false">
      <c r="C130" s="2"/>
      <c r="D130" s="2"/>
      <c r="E130" s="2"/>
      <c r="F130" s="2"/>
    </row>
    <row r="131" customFormat="false" ht="15.75" hidden="false" customHeight="true" outlineLevel="0" collapsed="false">
      <c r="C131" s="2"/>
      <c r="D131" s="2"/>
      <c r="E131" s="2"/>
      <c r="F131" s="2"/>
    </row>
    <row r="132" customFormat="false" ht="15.75" hidden="false" customHeight="true" outlineLevel="0" collapsed="false">
      <c r="C132" s="2"/>
      <c r="D132" s="2"/>
      <c r="E132" s="2"/>
      <c r="F132" s="2"/>
    </row>
    <row r="133" customFormat="false" ht="15.75" hidden="false" customHeight="true" outlineLevel="0" collapsed="false">
      <c r="C133" s="2"/>
      <c r="D133" s="2"/>
      <c r="E133" s="2"/>
      <c r="F133" s="2"/>
    </row>
    <row r="134" customFormat="false" ht="15.75" hidden="false" customHeight="true" outlineLevel="0" collapsed="false">
      <c r="C134" s="2"/>
      <c r="D134" s="2"/>
      <c r="E134" s="2"/>
      <c r="F134" s="2"/>
    </row>
    <row r="135" customFormat="false" ht="15.75" hidden="false" customHeight="true" outlineLevel="0" collapsed="false">
      <c r="C135" s="2"/>
      <c r="D135" s="2"/>
      <c r="E135" s="2"/>
      <c r="F135" s="2"/>
    </row>
    <row r="136" customFormat="false" ht="15.75" hidden="false" customHeight="true" outlineLevel="0" collapsed="false">
      <c r="C136" s="2"/>
      <c r="D136" s="2"/>
      <c r="E136" s="2"/>
      <c r="F136" s="2"/>
    </row>
    <row r="137" customFormat="false" ht="15.75" hidden="false" customHeight="true" outlineLevel="0" collapsed="false">
      <c r="C137" s="2"/>
      <c r="D137" s="2"/>
      <c r="E137" s="2"/>
      <c r="F137" s="2"/>
    </row>
    <row r="138" customFormat="false" ht="15.75" hidden="false" customHeight="true" outlineLevel="0" collapsed="false">
      <c r="C138" s="2"/>
      <c r="D138" s="2"/>
      <c r="E138" s="2"/>
      <c r="F138" s="2"/>
    </row>
    <row r="139" customFormat="false" ht="15.75" hidden="false" customHeight="true" outlineLevel="0" collapsed="false">
      <c r="C139" s="2"/>
      <c r="D139" s="2"/>
      <c r="E139" s="2"/>
      <c r="F139" s="2"/>
    </row>
    <row r="140" customFormat="false" ht="15.75" hidden="false" customHeight="true" outlineLevel="0" collapsed="false">
      <c r="C140" s="2"/>
      <c r="D140" s="2"/>
      <c r="E140" s="2"/>
      <c r="F140" s="2"/>
    </row>
    <row r="141" customFormat="false" ht="15.75" hidden="false" customHeight="true" outlineLevel="0" collapsed="false">
      <c r="C141" s="2"/>
      <c r="D141" s="2"/>
      <c r="E141" s="2"/>
      <c r="F141" s="2"/>
    </row>
    <row r="142" customFormat="false" ht="15.75" hidden="false" customHeight="true" outlineLevel="0" collapsed="false">
      <c r="C142" s="2"/>
      <c r="D142" s="2"/>
      <c r="E142" s="2"/>
      <c r="F142" s="2"/>
    </row>
    <row r="143" customFormat="false" ht="15.75" hidden="false" customHeight="true" outlineLevel="0" collapsed="false">
      <c r="C143" s="2"/>
      <c r="D143" s="2"/>
      <c r="E143" s="2"/>
      <c r="F143" s="2"/>
    </row>
    <row r="144" customFormat="false" ht="15.75" hidden="false" customHeight="true" outlineLevel="0" collapsed="false">
      <c r="C144" s="2"/>
      <c r="D144" s="2"/>
      <c r="E144" s="2"/>
      <c r="F144" s="2"/>
    </row>
    <row r="145" customFormat="false" ht="15.75" hidden="false" customHeight="true" outlineLevel="0" collapsed="false">
      <c r="C145" s="2"/>
      <c r="D145" s="2"/>
      <c r="E145" s="2"/>
      <c r="F145" s="2"/>
    </row>
    <row r="146" customFormat="false" ht="15.75" hidden="false" customHeight="true" outlineLevel="0" collapsed="false">
      <c r="C146" s="2"/>
      <c r="D146" s="2"/>
      <c r="E146" s="2"/>
      <c r="F146" s="2"/>
    </row>
    <row r="147" customFormat="false" ht="15.75" hidden="false" customHeight="true" outlineLevel="0" collapsed="false">
      <c r="C147" s="2"/>
      <c r="D147" s="2"/>
      <c r="E147" s="2"/>
      <c r="F147" s="2"/>
    </row>
    <row r="148" customFormat="false" ht="15.75" hidden="false" customHeight="true" outlineLevel="0" collapsed="false">
      <c r="C148" s="2"/>
      <c r="D148" s="2"/>
      <c r="E148" s="2"/>
      <c r="F148" s="2"/>
    </row>
    <row r="149" customFormat="false" ht="15.75" hidden="false" customHeight="true" outlineLevel="0" collapsed="false">
      <c r="C149" s="2"/>
      <c r="D149" s="2"/>
      <c r="E149" s="2"/>
      <c r="F149" s="2"/>
    </row>
    <row r="150" customFormat="false" ht="15.75" hidden="false" customHeight="true" outlineLevel="0" collapsed="false">
      <c r="C150" s="2"/>
      <c r="D150" s="2"/>
      <c r="E150" s="2"/>
      <c r="F150" s="2"/>
    </row>
    <row r="151" customFormat="false" ht="15.75" hidden="false" customHeight="true" outlineLevel="0" collapsed="false">
      <c r="C151" s="2"/>
      <c r="D151" s="2"/>
      <c r="E151" s="2"/>
      <c r="F151" s="2"/>
    </row>
    <row r="152" customFormat="false" ht="15.75" hidden="false" customHeight="true" outlineLevel="0" collapsed="false">
      <c r="C152" s="2"/>
      <c r="D152" s="2"/>
      <c r="E152" s="2"/>
      <c r="F152" s="2"/>
    </row>
    <row r="153" customFormat="false" ht="15.75" hidden="false" customHeight="true" outlineLevel="0" collapsed="false">
      <c r="C153" s="2"/>
      <c r="D153" s="2"/>
      <c r="E153" s="2"/>
      <c r="F153" s="2"/>
    </row>
    <row r="154" customFormat="false" ht="15.75" hidden="false" customHeight="true" outlineLevel="0" collapsed="false">
      <c r="C154" s="2"/>
      <c r="D154" s="2"/>
      <c r="E154" s="2"/>
      <c r="F154" s="2"/>
    </row>
    <row r="155" customFormat="false" ht="15.75" hidden="false" customHeight="true" outlineLevel="0" collapsed="false">
      <c r="C155" s="2"/>
      <c r="D155" s="2"/>
      <c r="E155" s="2"/>
      <c r="F155" s="2"/>
    </row>
    <row r="156" customFormat="false" ht="15.75" hidden="false" customHeight="true" outlineLevel="0" collapsed="false">
      <c r="C156" s="2"/>
      <c r="D156" s="2"/>
      <c r="E156" s="2"/>
      <c r="F156" s="2"/>
    </row>
    <row r="157" customFormat="false" ht="15.75" hidden="false" customHeight="true" outlineLevel="0" collapsed="false">
      <c r="C157" s="2"/>
      <c r="D157" s="2"/>
      <c r="E157" s="2"/>
      <c r="F157" s="2"/>
    </row>
    <row r="158" customFormat="false" ht="15.75" hidden="false" customHeight="true" outlineLevel="0" collapsed="false">
      <c r="C158" s="2"/>
      <c r="D158" s="2"/>
      <c r="E158" s="2"/>
      <c r="F158" s="2"/>
    </row>
    <row r="159" customFormat="false" ht="15.75" hidden="false" customHeight="true" outlineLevel="0" collapsed="false">
      <c r="C159" s="2"/>
      <c r="D159" s="2"/>
      <c r="E159" s="2"/>
      <c r="F159" s="2"/>
    </row>
    <row r="160" customFormat="false" ht="15.75" hidden="false" customHeight="true" outlineLevel="0" collapsed="false">
      <c r="C160" s="2"/>
      <c r="D160" s="2"/>
      <c r="E160" s="2"/>
      <c r="F160" s="2"/>
    </row>
    <row r="161" customFormat="false" ht="15.75" hidden="false" customHeight="true" outlineLevel="0" collapsed="false">
      <c r="C161" s="2"/>
      <c r="D161" s="2"/>
      <c r="E161" s="2"/>
      <c r="F161" s="2"/>
    </row>
    <row r="162" customFormat="false" ht="15.75" hidden="false" customHeight="true" outlineLevel="0" collapsed="false">
      <c r="C162" s="2"/>
      <c r="D162" s="2"/>
      <c r="E162" s="2"/>
      <c r="F162" s="2"/>
    </row>
    <row r="163" customFormat="false" ht="15.75" hidden="false" customHeight="true" outlineLevel="0" collapsed="false">
      <c r="C163" s="2"/>
      <c r="D163" s="2"/>
      <c r="E163" s="2"/>
      <c r="F163" s="2"/>
    </row>
    <row r="164" customFormat="false" ht="15.75" hidden="false" customHeight="true" outlineLevel="0" collapsed="false">
      <c r="C164" s="2"/>
      <c r="D164" s="2"/>
      <c r="E164" s="2"/>
      <c r="F164" s="2"/>
    </row>
    <row r="165" customFormat="false" ht="15.75" hidden="false" customHeight="true" outlineLevel="0" collapsed="false">
      <c r="C165" s="2"/>
      <c r="D165" s="2"/>
      <c r="E165" s="2"/>
      <c r="F165" s="2"/>
    </row>
    <row r="166" customFormat="false" ht="15.75" hidden="false" customHeight="true" outlineLevel="0" collapsed="false">
      <c r="C166" s="2"/>
      <c r="D166" s="2"/>
      <c r="E166" s="2"/>
      <c r="F166" s="2"/>
    </row>
    <row r="167" customFormat="false" ht="15.75" hidden="false" customHeight="true" outlineLevel="0" collapsed="false">
      <c r="C167" s="2"/>
      <c r="D167" s="2"/>
      <c r="E167" s="2"/>
      <c r="F167" s="2"/>
    </row>
    <row r="168" customFormat="false" ht="15.75" hidden="false" customHeight="true" outlineLevel="0" collapsed="false">
      <c r="C168" s="2"/>
      <c r="D168" s="2"/>
      <c r="E168" s="2"/>
      <c r="F168" s="2"/>
    </row>
    <row r="169" customFormat="false" ht="15.75" hidden="false" customHeight="true" outlineLevel="0" collapsed="false">
      <c r="C169" s="2"/>
      <c r="D169" s="2"/>
      <c r="E169" s="2"/>
      <c r="F169" s="2"/>
    </row>
    <row r="170" customFormat="false" ht="15.75" hidden="false" customHeight="true" outlineLevel="0" collapsed="false">
      <c r="C170" s="2"/>
      <c r="D170" s="2"/>
      <c r="E170" s="2"/>
      <c r="F170" s="2"/>
    </row>
    <row r="171" customFormat="false" ht="15.75" hidden="false" customHeight="true" outlineLevel="0" collapsed="false">
      <c r="C171" s="2"/>
      <c r="D171" s="2"/>
      <c r="E171" s="2"/>
      <c r="F171" s="2"/>
    </row>
    <row r="172" customFormat="false" ht="15.75" hidden="false" customHeight="true" outlineLevel="0" collapsed="false">
      <c r="C172" s="2"/>
      <c r="D172" s="2"/>
      <c r="E172" s="2"/>
      <c r="F172" s="2"/>
    </row>
    <row r="173" customFormat="false" ht="15.75" hidden="false" customHeight="true" outlineLevel="0" collapsed="false">
      <c r="C173" s="2"/>
      <c r="D173" s="2"/>
      <c r="E173" s="2"/>
      <c r="F173" s="2"/>
    </row>
    <row r="174" customFormat="false" ht="15.75" hidden="false" customHeight="true" outlineLevel="0" collapsed="false">
      <c r="C174" s="2"/>
      <c r="D174" s="2"/>
      <c r="E174" s="2"/>
      <c r="F174" s="2"/>
    </row>
    <row r="175" customFormat="false" ht="15.75" hidden="false" customHeight="true" outlineLevel="0" collapsed="false">
      <c r="C175" s="2"/>
      <c r="D175" s="2"/>
      <c r="E175" s="2"/>
      <c r="F175" s="2"/>
    </row>
    <row r="176" customFormat="false" ht="15.75" hidden="false" customHeight="true" outlineLevel="0" collapsed="false">
      <c r="C176" s="2"/>
      <c r="D176" s="2"/>
      <c r="E176" s="2"/>
      <c r="F176" s="2"/>
    </row>
    <row r="177" customFormat="false" ht="15.75" hidden="false" customHeight="true" outlineLevel="0" collapsed="false">
      <c r="C177" s="2"/>
      <c r="D177" s="2"/>
      <c r="E177" s="2"/>
      <c r="F177" s="2"/>
    </row>
    <row r="178" customFormat="false" ht="15.75" hidden="false" customHeight="true" outlineLevel="0" collapsed="false">
      <c r="C178" s="2"/>
      <c r="D178" s="2"/>
      <c r="E178" s="2"/>
      <c r="F178" s="2"/>
    </row>
    <row r="179" customFormat="false" ht="15.75" hidden="false" customHeight="true" outlineLevel="0" collapsed="false">
      <c r="C179" s="2"/>
      <c r="D179" s="2"/>
      <c r="E179" s="2"/>
      <c r="F179" s="2"/>
    </row>
    <row r="180" customFormat="false" ht="15.75" hidden="false" customHeight="true" outlineLevel="0" collapsed="false">
      <c r="C180" s="2"/>
      <c r="D180" s="2"/>
      <c r="E180" s="2"/>
      <c r="F180" s="2"/>
    </row>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65449" customFormat="false" ht="12.8" hidden="false" customHeight="true" outlineLevel="0" collapsed="false"/>
    <row r="65450" customFormat="false" ht="12.8" hidden="false" customHeight="true" outlineLevel="0" collapsed="false"/>
    <row r="65451" customFormat="false" ht="12.8" hidden="false" customHeight="true" outlineLevel="0" collapsed="false"/>
    <row r="65452" customFormat="false" ht="12.8" hidden="false" customHeight="true" outlineLevel="0" collapsed="false"/>
    <row r="65453" customFormat="false" ht="12.8" hidden="false" customHeight="true" outlineLevel="0" collapsed="false"/>
    <row r="65454" customFormat="false" ht="12.8" hidden="false" customHeight="true" outlineLevel="0" collapsed="false"/>
    <row r="65455" customFormat="false" ht="12.8" hidden="false" customHeight="true" outlineLevel="0" collapsed="false"/>
    <row r="65456" customFormat="false" ht="12.8" hidden="false" customHeight="true" outlineLevel="0" collapsed="false"/>
    <row r="65457" customFormat="false" ht="12.8" hidden="false" customHeight="true" outlineLevel="0" collapsed="false"/>
    <row r="65458" customFormat="false" ht="12.8" hidden="false" customHeight="true" outlineLevel="0" collapsed="false"/>
    <row r="65459" customFormat="false" ht="12.8" hidden="false" customHeight="true" outlineLevel="0" collapsed="false"/>
    <row r="65460" customFormat="false" ht="12.8" hidden="false" customHeight="true" outlineLevel="0" collapsed="false"/>
    <row r="65461" customFormat="false" ht="12.8" hidden="false" customHeight="true" outlineLevel="0" collapsed="false"/>
    <row r="65462" customFormat="false" ht="12.8" hidden="false" customHeight="true" outlineLevel="0" collapsed="false"/>
    <row r="65463" customFormat="false" ht="12.8" hidden="false" customHeight="true" outlineLevel="0" collapsed="false"/>
    <row r="65464" customFormat="false" ht="12.8" hidden="false" customHeight="true" outlineLevel="0" collapsed="false"/>
    <row r="65465" customFormat="false" ht="12.8" hidden="false" customHeight="true" outlineLevel="0" collapsed="false"/>
    <row r="65466" customFormat="false" ht="12.8" hidden="false" customHeight="true" outlineLevel="0" collapsed="false"/>
    <row r="65467" customFormat="false" ht="12.8" hidden="false" customHeight="true" outlineLevel="0" collapsed="false"/>
    <row r="65468" customFormat="false" ht="12.8" hidden="false" customHeight="true" outlineLevel="0" collapsed="false"/>
    <row r="65469" customFormat="false" ht="12.8" hidden="false" customHeight="true" outlineLevel="0" collapsed="false"/>
    <row r="65470" customFormat="false" ht="12.8" hidden="false" customHeight="true" outlineLevel="0" collapsed="false"/>
    <row r="65471" customFormat="false" ht="12.8" hidden="false" customHeight="true" outlineLevel="0" collapsed="false"/>
    <row r="65472" customFormat="false" ht="12.8" hidden="false" customHeight="true" outlineLevel="0" collapsed="false"/>
    <row r="65473" customFormat="false" ht="12.8" hidden="false" customHeight="true" outlineLevel="0" collapsed="false"/>
    <row r="65474" customFormat="false" ht="12.8" hidden="false" customHeight="true" outlineLevel="0" collapsed="false"/>
    <row r="65475" customFormat="false" ht="12.8" hidden="false" customHeight="true" outlineLevel="0" collapsed="false"/>
    <row r="65476" customFormat="false" ht="12.8" hidden="false" customHeight="true" outlineLevel="0" collapsed="false"/>
    <row r="65477" customFormat="false" ht="12.8" hidden="false" customHeight="true" outlineLevel="0" collapsed="false"/>
    <row r="65478" customFormat="false" ht="12.8" hidden="false" customHeight="true" outlineLevel="0" collapsed="false"/>
    <row r="65479" customFormat="false" ht="12.8" hidden="false" customHeight="true" outlineLevel="0" collapsed="false"/>
    <row r="65480" customFormat="false" ht="12.8" hidden="false" customHeight="true" outlineLevel="0" collapsed="false"/>
    <row r="65481" customFormat="false" ht="12.8" hidden="false" customHeight="true" outlineLevel="0" collapsed="false"/>
    <row r="65482" customFormat="false" ht="12.8" hidden="false" customHeight="true" outlineLevel="0" collapsed="false"/>
    <row r="65483" customFormat="false" ht="12.8" hidden="false" customHeight="true" outlineLevel="0" collapsed="false"/>
    <row r="65484" customFormat="false" ht="12.8" hidden="false" customHeight="true" outlineLevel="0" collapsed="false"/>
    <row r="65485" customFormat="false" ht="12.8" hidden="false" customHeight="true" outlineLevel="0" collapsed="false"/>
    <row r="65486" customFormat="false" ht="12.8" hidden="false" customHeight="true" outlineLevel="0" collapsed="false"/>
    <row r="65487" customFormat="false" ht="12.8" hidden="false" customHeight="true" outlineLevel="0" collapsed="false"/>
    <row r="65488" customFormat="false" ht="12.8" hidden="false" customHeight="true" outlineLevel="0" collapsed="false"/>
    <row r="65489" customFormat="false" ht="12.8" hidden="false" customHeight="true" outlineLevel="0" collapsed="false"/>
    <row r="65490" customFormat="false" ht="12.8" hidden="false" customHeight="true" outlineLevel="0" collapsed="false"/>
    <row r="65491" customFormat="false" ht="12.8" hidden="false" customHeight="true" outlineLevel="0" collapsed="false"/>
    <row r="65492" customFormat="false" ht="12.8" hidden="false" customHeight="true" outlineLevel="0" collapsed="false"/>
    <row r="65493" customFormat="false" ht="12.8" hidden="false" customHeight="true" outlineLevel="0" collapsed="false"/>
    <row r="65494" customFormat="false" ht="12.8" hidden="false" customHeight="true" outlineLevel="0" collapsed="false"/>
    <row r="65495" customFormat="false" ht="12.8" hidden="false" customHeight="true" outlineLevel="0" collapsed="false"/>
    <row r="65496" customFormat="false" ht="12.8" hidden="false" customHeight="true" outlineLevel="0" collapsed="false"/>
    <row r="65497" customFormat="false" ht="12.8" hidden="false" customHeight="true" outlineLevel="0" collapsed="false"/>
    <row r="65498" customFormat="false" ht="12.8" hidden="false" customHeight="true" outlineLevel="0" collapsed="false"/>
    <row r="65499" customFormat="false" ht="12.8" hidden="false" customHeight="true" outlineLevel="0" collapsed="false"/>
    <row r="65500" customFormat="false" ht="12.8" hidden="false" customHeight="true" outlineLevel="0" collapsed="false"/>
    <row r="65501" customFormat="false" ht="12.8" hidden="false" customHeight="true" outlineLevel="0" collapsed="false"/>
    <row r="65502" customFormat="false" ht="12.8" hidden="false" customHeight="true" outlineLevel="0" collapsed="false"/>
    <row r="65503" customFormat="false" ht="12.8" hidden="false" customHeight="true" outlineLevel="0" collapsed="false"/>
    <row r="65504" customFormat="false" ht="12.8" hidden="false" customHeight="true" outlineLevel="0" collapsed="false"/>
    <row r="65505" customFormat="false" ht="12.8" hidden="false" customHeight="true" outlineLevel="0" collapsed="false"/>
    <row r="65506" customFormat="false" ht="12.8" hidden="false" customHeight="true" outlineLevel="0" collapsed="false"/>
    <row r="65507" customFormat="false" ht="12.8" hidden="false" customHeight="true" outlineLevel="0" collapsed="false"/>
    <row r="65508" customFormat="false" ht="12.8" hidden="false" customHeight="true" outlineLevel="0" collapsed="false"/>
    <row r="65509" customFormat="false" ht="12.8" hidden="false" customHeight="true" outlineLevel="0" collapsed="false"/>
    <row r="65510" customFormat="false" ht="12.8" hidden="false" customHeight="true" outlineLevel="0" collapsed="false"/>
    <row r="65511" customFormat="false" ht="12.8" hidden="false" customHeight="true" outlineLevel="0" collapsed="false"/>
    <row r="65512" customFormat="false" ht="12.8" hidden="false" customHeight="true" outlineLevel="0" collapsed="false"/>
    <row r="65513" customFormat="false" ht="12.8" hidden="false" customHeight="true" outlineLevel="0" collapsed="false"/>
    <row r="65514" customFormat="false" ht="12.8" hidden="false" customHeight="true" outlineLevel="0" collapsed="false"/>
    <row r="65515" customFormat="false" ht="12.8" hidden="false" customHeight="true" outlineLevel="0" collapsed="false"/>
    <row r="65516" customFormat="false" ht="12.8" hidden="false" customHeight="true" outlineLevel="0" collapsed="false"/>
    <row r="65517" customFormat="false" ht="12.8" hidden="false" customHeight="true" outlineLevel="0" collapsed="false"/>
    <row r="65518" customFormat="false" ht="12.8" hidden="false" customHeight="true" outlineLevel="0" collapsed="false"/>
    <row r="65519" customFormat="false" ht="12.8" hidden="false" customHeight="true" outlineLevel="0" collapsed="false"/>
    <row r="65520" customFormat="false" ht="12.8" hidden="false" customHeight="true" outlineLevel="0" collapsed="false"/>
    <row r="65521" customFormat="false" ht="12.8" hidden="false" customHeight="true" outlineLevel="0" collapsed="false"/>
    <row r="65522" customFormat="false" ht="12.8" hidden="false" customHeight="true" outlineLevel="0" collapsed="false"/>
    <row r="65523" customFormat="false" ht="12.8" hidden="false" customHeight="true" outlineLevel="0" collapsed="false"/>
    <row r="65524" customFormat="false" ht="12.8" hidden="false" customHeight="true" outlineLevel="0" collapsed="false"/>
    <row r="65525" customFormat="false" ht="12.8" hidden="false" customHeight="true" outlineLevel="0" collapsed="false"/>
    <row r="65526" customFormat="false" ht="12.8" hidden="false" customHeight="true" outlineLevel="0" collapsed="false"/>
    <row r="65527" customFormat="false" ht="12.8" hidden="false" customHeight="true" outlineLevel="0" collapsed="false"/>
    <row r="65528" customFormat="false" ht="12.8" hidden="false" customHeight="true" outlineLevel="0" collapsed="false"/>
    <row r="65529" customFormat="false" ht="12.8" hidden="false" customHeight="true" outlineLevel="0" collapsed="false"/>
    <row r="65530" customFormat="false" ht="12.8" hidden="false" customHeight="true" outlineLevel="0" collapsed="false"/>
    <row r="65531" customFormat="false" ht="12.8" hidden="false" customHeight="true" outlineLevel="0" collapsed="false"/>
    <row r="65532" customFormat="false" ht="12.8" hidden="false" customHeight="true" outlineLevel="0" collapsed="false"/>
    <row r="65533" customFormat="false" ht="12.8" hidden="false" customHeight="true" outlineLevel="0" collapsed="false"/>
    <row r="65534" customFormat="false" ht="12.8" hidden="false" customHeight="true" outlineLevel="0" collapsed="false"/>
    <row r="65535" customFormat="false" ht="12.8" hidden="false" customHeight="true" outlineLevel="0" collapsed="false"/>
    <row r="65536" customFormat="false" ht="12.8" hidden="false" customHeight="true" outlineLevel="0" collapsed="false"/>
  </sheetData>
  <mergeCells count="7">
    <mergeCell ref="C4:F4"/>
    <mergeCell ref="C5:F5"/>
    <mergeCell ref="C10:F10"/>
    <mergeCell ref="D11:E11"/>
    <mergeCell ref="C12:F12"/>
    <mergeCell ref="C19:F19"/>
    <mergeCell ref="C21:F21"/>
  </mergeCells>
  <hyperlinks>
    <hyperlink ref="C6" r:id="rId1" display="https://g.co/gemini/share/504d9496e46c"/>
    <hyperlink ref="C11" r:id="rId2" display="https://www.science.org/doi/10.1126/sciadv.adn5650"/>
    <hyperlink ref="C20" r:id="rId3" display="https://ourworldindata.org/do-better-cages-or-cage-free-environments-really-improve-the-lives-of-hen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1328125" defaultRowHeight="15" customHeight="true" zeroHeight="false" outlineLevelRow="0" outlineLevelCol="0"/>
  <cols>
    <col collapsed="false" customWidth="true" hidden="false" outlineLevel="0" max="1" min="1" style="1" width="35.98"/>
    <col collapsed="false" customWidth="true" hidden="false" outlineLevel="0" max="3" min="2" style="1" width="19.86"/>
    <col collapsed="false" customWidth="true" hidden="false" outlineLevel="0" max="4" min="4" style="1" width="18.61"/>
    <col collapsed="false" customWidth="true" hidden="false" outlineLevel="0" max="5" min="5" style="1" width="19.86"/>
    <col collapsed="false" customWidth="true" hidden="false" outlineLevel="0" max="6" min="6" style="1" width="10.43"/>
    <col collapsed="false" customWidth="true" hidden="false" outlineLevel="0" max="7" min="7" style="1" width="36.45"/>
    <col collapsed="false" customWidth="true" hidden="false" outlineLevel="0" max="26" min="8" style="1" width="14.52"/>
  </cols>
  <sheetData>
    <row r="1" customFormat="false" ht="15" hidden="false" customHeight="true" outlineLevel="0" collapsed="false">
      <c r="A1" s="30" t="s">
        <v>357</v>
      </c>
      <c r="B1" s="2"/>
      <c r="C1" s="2"/>
      <c r="D1" s="2"/>
      <c r="E1" s="2"/>
      <c r="F1" s="2"/>
      <c r="G1" s="2"/>
      <c r="H1" s="2"/>
      <c r="I1" s="2"/>
      <c r="J1" s="2"/>
      <c r="K1" s="2"/>
      <c r="L1" s="2"/>
      <c r="M1" s="2"/>
      <c r="N1" s="2"/>
      <c r="O1" s="2"/>
      <c r="P1" s="2"/>
      <c r="Q1" s="2"/>
      <c r="R1" s="2"/>
      <c r="S1" s="2"/>
      <c r="T1" s="2"/>
      <c r="U1" s="2"/>
      <c r="V1" s="2"/>
      <c r="W1" s="2"/>
      <c r="X1" s="2"/>
      <c r="Y1" s="2"/>
      <c r="Z1" s="2"/>
    </row>
    <row r="2" customFormat="false" ht="12.8" hidden="false" customHeight="true" outlineLevel="0" collapsed="false">
      <c r="A2" s="2"/>
      <c r="B2" s="6"/>
      <c r="C2" s="6"/>
      <c r="D2" s="6"/>
      <c r="E2" s="2"/>
      <c r="F2" s="2"/>
      <c r="G2" s="2"/>
      <c r="H2" s="2"/>
      <c r="I2" s="2"/>
      <c r="J2" s="2"/>
      <c r="K2" s="2"/>
      <c r="L2" s="2"/>
      <c r="M2" s="2"/>
      <c r="N2" s="2"/>
      <c r="O2" s="2"/>
      <c r="P2" s="2"/>
      <c r="Q2" s="2"/>
      <c r="R2" s="2"/>
      <c r="S2" s="2"/>
      <c r="T2" s="2"/>
      <c r="U2" s="2"/>
      <c r="V2" s="2"/>
      <c r="W2" s="2"/>
      <c r="X2" s="2"/>
      <c r="Y2" s="2"/>
      <c r="Z2" s="2"/>
    </row>
    <row r="3" customFormat="false" ht="23.85" hidden="false" customHeight="true" outlineLevel="0" collapsed="false">
      <c r="A3" s="187"/>
      <c r="B3" s="101" t="s">
        <v>358</v>
      </c>
      <c r="C3" s="101" t="s">
        <v>359</v>
      </c>
      <c r="D3" s="101" t="s">
        <v>360</v>
      </c>
      <c r="E3" s="101" t="s">
        <v>361</v>
      </c>
      <c r="F3" s="101" t="s">
        <v>362</v>
      </c>
      <c r="G3" s="188" t="s">
        <v>363</v>
      </c>
      <c r="H3" s="2"/>
      <c r="I3" s="2"/>
      <c r="J3" s="2"/>
      <c r="K3" s="2"/>
      <c r="L3" s="2"/>
      <c r="M3" s="2"/>
      <c r="N3" s="2"/>
      <c r="O3" s="2"/>
      <c r="P3" s="2"/>
      <c r="Q3" s="2"/>
      <c r="R3" s="2"/>
      <c r="S3" s="2"/>
      <c r="T3" s="2"/>
      <c r="U3" s="2"/>
      <c r="V3" s="2"/>
      <c r="W3" s="2"/>
      <c r="X3" s="2"/>
      <c r="Y3" s="2"/>
      <c r="Z3" s="2"/>
    </row>
    <row r="4" customFormat="false" ht="12.8" hidden="false" customHeight="true" outlineLevel="0" collapsed="false">
      <c r="A4" s="39" t="s">
        <v>20</v>
      </c>
      <c r="B4" s="189" t="n">
        <f aca="false">(1+H68)*B61</f>
        <v>0.102573250527634</v>
      </c>
      <c r="C4" s="190" t="n">
        <f aca="false">B4/(1-B4)</f>
        <v>0.114297072811727</v>
      </c>
      <c r="D4" s="191" t="n">
        <f aca="false">D61</f>
        <v>326.285714285714</v>
      </c>
      <c r="E4" s="192" t="n">
        <f aca="false">C4*D4</f>
        <v>37.2935020431406</v>
      </c>
      <c r="F4" s="193" t="n">
        <v>1098</v>
      </c>
      <c r="G4" s="194" t="n">
        <f aca="false">D4/F4</f>
        <v>0.297163674212854</v>
      </c>
      <c r="H4" s="2"/>
      <c r="I4" s="2"/>
      <c r="J4" s="2"/>
      <c r="K4" s="2"/>
      <c r="L4" s="2"/>
      <c r="M4" s="2"/>
      <c r="N4" s="2"/>
      <c r="O4" s="2"/>
      <c r="P4" s="2"/>
      <c r="Q4" s="2"/>
      <c r="R4" s="2"/>
      <c r="S4" s="2"/>
      <c r="T4" s="2"/>
      <c r="U4" s="2"/>
      <c r="V4" s="2"/>
      <c r="W4" s="2"/>
      <c r="X4" s="2"/>
      <c r="Y4" s="2"/>
      <c r="Z4" s="2"/>
    </row>
    <row r="5" customFormat="false" ht="12.8" hidden="false" customHeight="true" outlineLevel="0" collapsed="false">
      <c r="A5" s="39" t="s">
        <v>364</v>
      </c>
      <c r="B5" s="189" t="n">
        <f aca="false">B18</f>
        <v>0.0593</v>
      </c>
      <c r="C5" s="190" t="n">
        <f aca="false">B5/(1-B5)</f>
        <v>0.0630381630700542</v>
      </c>
      <c r="D5" s="195" t="n">
        <f aca="false">B19</f>
        <v>24.5</v>
      </c>
      <c r="E5" s="192" t="n">
        <f aca="false">C5*D5</f>
        <v>1.54443499521633</v>
      </c>
      <c r="F5" s="196" t="n">
        <f aca="false">7*7</f>
        <v>49</v>
      </c>
      <c r="G5" s="194" t="n">
        <f aca="false">D5/F5</f>
        <v>0.5</v>
      </c>
      <c r="H5" s="2"/>
      <c r="I5" s="2"/>
      <c r="J5" s="2"/>
      <c r="K5" s="2"/>
      <c r="L5" s="2"/>
      <c r="M5" s="2"/>
      <c r="N5" s="2"/>
      <c r="O5" s="2"/>
      <c r="P5" s="2"/>
      <c r="Q5" s="2"/>
      <c r="R5" s="2"/>
      <c r="S5" s="2"/>
      <c r="T5" s="2"/>
      <c r="U5" s="2"/>
      <c r="V5" s="2"/>
      <c r="W5" s="2"/>
      <c r="X5" s="2"/>
      <c r="Y5" s="2"/>
      <c r="Z5" s="2"/>
    </row>
    <row r="6" customFormat="false" ht="12.8" hidden="false" customHeight="true" outlineLevel="0" collapsed="false">
      <c r="A6" s="39" t="s">
        <v>365</v>
      </c>
      <c r="B6" s="189" t="n">
        <f aca="false">D69</f>
        <v>0.0817840000000001</v>
      </c>
      <c r="C6" s="190" t="n">
        <f aca="false">B6/(1-B6)</f>
        <v>0.0890683673558292</v>
      </c>
      <c r="D6" s="191" t="n">
        <f aca="false">E69</f>
        <v>126.15813253012</v>
      </c>
      <c r="E6" s="192" t="n">
        <f aca="false">C6*D6</f>
        <v>11.2366988931181</v>
      </c>
      <c r="F6" s="196" t="n">
        <f aca="false">5.5*365</f>
        <v>2007.5</v>
      </c>
      <c r="G6" s="194" t="n">
        <f aca="false">D6/F6</f>
        <v>0.0628434035019278</v>
      </c>
      <c r="H6" s="2"/>
      <c r="I6" s="2"/>
      <c r="J6" s="2"/>
      <c r="K6" s="2"/>
      <c r="L6" s="2"/>
      <c r="M6" s="2"/>
      <c r="N6" s="2"/>
      <c r="O6" s="2"/>
      <c r="P6" s="2"/>
      <c r="Q6" s="2"/>
      <c r="R6" s="2"/>
      <c r="S6" s="2"/>
      <c r="T6" s="2"/>
      <c r="U6" s="2"/>
      <c r="V6" s="2"/>
      <c r="W6" s="2"/>
      <c r="X6" s="2"/>
      <c r="Y6" s="2"/>
      <c r="Z6" s="2"/>
    </row>
    <row r="7" customFormat="false" ht="12.8" hidden="false" customHeight="true" outlineLevel="0" collapsed="false">
      <c r="A7" s="39" t="s">
        <v>366</v>
      </c>
      <c r="B7" s="189" t="n">
        <f aca="false">B53</f>
        <v>0.165198172</v>
      </c>
      <c r="C7" s="190" t="n">
        <f aca="false">B7/(1-B7)</f>
        <v>0.197889087516469</v>
      </c>
      <c r="D7" s="191" t="n">
        <f aca="false">D53</f>
        <v>40.9841954022989</v>
      </c>
      <c r="E7" s="192" t="n">
        <f aca="false">C7*D7</f>
        <v>8.11032503075758</v>
      </c>
      <c r="F7" s="193" t="n">
        <v>168</v>
      </c>
      <c r="G7" s="194" t="n">
        <f aca="false">D7/F7</f>
        <v>0.243953544061303</v>
      </c>
      <c r="H7" s="2"/>
      <c r="I7" s="2"/>
      <c r="J7" s="2"/>
      <c r="K7" s="2"/>
      <c r="L7" s="2"/>
      <c r="M7" s="2"/>
      <c r="N7" s="2"/>
      <c r="O7" s="2"/>
      <c r="P7" s="2"/>
      <c r="Q7" s="2"/>
      <c r="R7" s="2"/>
      <c r="S7" s="2"/>
      <c r="T7" s="2"/>
      <c r="U7" s="2"/>
      <c r="V7" s="2"/>
      <c r="W7" s="2"/>
      <c r="X7" s="2"/>
      <c r="Y7" s="2"/>
      <c r="Z7" s="2"/>
    </row>
    <row r="8" customFormat="false" ht="12.8" hidden="false" customHeight="true" outlineLevel="0" collapsed="false">
      <c r="A8" s="39" t="s">
        <v>367</v>
      </c>
      <c r="B8" s="189" t="n">
        <f aca="false">D29</f>
        <v>0.0735483870967742</v>
      </c>
      <c r="C8" s="190" t="n">
        <f aca="false">B8/(1-B8)+1</f>
        <v>1.07938718662953</v>
      </c>
      <c r="D8" s="191" t="n">
        <f aca="false">E29</f>
        <v>83.2631578947369</v>
      </c>
      <c r="E8" s="192" t="n">
        <f aca="false">C8*D8</f>
        <v>89.8731857498901</v>
      </c>
      <c r="F8" s="193" t="n">
        <v>504</v>
      </c>
      <c r="G8" s="194" t="n">
        <f aca="false">D8/F8</f>
        <v>0.165204678362573</v>
      </c>
      <c r="H8" s="2"/>
      <c r="I8" s="2"/>
      <c r="J8" s="2"/>
      <c r="K8" s="2"/>
      <c r="L8" s="2"/>
      <c r="M8" s="2"/>
      <c r="N8" s="2"/>
      <c r="O8" s="2"/>
      <c r="P8" s="2"/>
      <c r="Q8" s="2"/>
      <c r="R8" s="2"/>
      <c r="S8" s="2"/>
      <c r="T8" s="2"/>
      <c r="U8" s="2"/>
      <c r="V8" s="2"/>
      <c r="W8" s="2"/>
      <c r="X8" s="2"/>
      <c r="Y8" s="2"/>
      <c r="Z8" s="2"/>
    </row>
    <row r="9" customFormat="false" ht="12.8" hidden="false" customHeight="true" outlineLevel="0" collapsed="false">
      <c r="A9" s="39" t="s">
        <v>26</v>
      </c>
      <c r="B9" s="189" t="n">
        <f aca="false">B40</f>
        <v>0.0825</v>
      </c>
      <c r="C9" s="190" t="n">
        <f aca="false">B9/(1-B9)</f>
        <v>0.0899182561307902</v>
      </c>
      <c r="D9" s="191" t="n">
        <f aca="false">C46</f>
        <v>52.5891959798995</v>
      </c>
      <c r="E9" s="192" t="n">
        <f aca="false">C9*D9</f>
        <v>4.72872879383293</v>
      </c>
      <c r="F9" s="193" t="n">
        <v>137.25</v>
      </c>
      <c r="G9" s="194" t="n">
        <f aca="false">D9/F9</f>
        <v>0.383163540837155</v>
      </c>
      <c r="H9" s="2"/>
      <c r="I9" s="2"/>
      <c r="J9" s="2"/>
      <c r="K9" s="2"/>
      <c r="L9" s="2"/>
      <c r="M9" s="2"/>
      <c r="N9" s="2"/>
      <c r="O9" s="2"/>
      <c r="P9" s="2"/>
      <c r="Q9" s="2"/>
      <c r="R9" s="2"/>
      <c r="S9" s="2"/>
      <c r="T9" s="2"/>
      <c r="U9" s="2"/>
      <c r="V9" s="2"/>
      <c r="W9" s="2"/>
      <c r="X9" s="2"/>
      <c r="Y9" s="2"/>
      <c r="Z9" s="2"/>
    </row>
    <row r="10" customFormat="false" ht="12.8" hidden="false" customHeight="true" outlineLevel="0" collapsed="false">
      <c r="A10" s="39" t="s">
        <v>114</v>
      </c>
      <c r="B10" s="189" t="n">
        <f aca="false">D88</f>
        <v>0.17984</v>
      </c>
      <c r="C10" s="190" t="n">
        <f aca="false">B10/(1-B10)</f>
        <v>0.219274287943816</v>
      </c>
      <c r="D10" s="1" t="n">
        <v>300</v>
      </c>
      <c r="E10" s="192" t="n">
        <f aca="false">C10*D10</f>
        <v>65.7822863831448</v>
      </c>
      <c r="F10" s="191" t="n">
        <v>425</v>
      </c>
      <c r="G10" s="194" t="n">
        <f aca="false">D10/F10</f>
        <v>0.705882352941177</v>
      </c>
      <c r="H10" s="2"/>
      <c r="I10" s="2"/>
      <c r="J10" s="2"/>
      <c r="K10" s="2"/>
      <c r="L10" s="2"/>
      <c r="M10" s="2"/>
      <c r="N10" s="2"/>
      <c r="O10" s="2"/>
      <c r="P10" s="2"/>
      <c r="Q10" s="2"/>
      <c r="R10" s="2"/>
      <c r="S10" s="2"/>
      <c r="T10" s="2"/>
      <c r="U10" s="2"/>
      <c r="V10" s="2"/>
      <c r="W10" s="2"/>
      <c r="X10" s="2"/>
      <c r="Y10" s="2"/>
      <c r="Z10" s="2"/>
    </row>
    <row r="11" customFormat="false" ht="12.8" hidden="false" customHeight="true" outlineLevel="0" collapsed="false">
      <c r="A11" s="39" t="s">
        <v>23</v>
      </c>
      <c r="B11" s="189" t="n">
        <f aca="false">D82</f>
        <v>0.272988</v>
      </c>
      <c r="C11" s="190" t="n">
        <f aca="false">B11/(1-B11)</f>
        <v>0.37549311428147</v>
      </c>
      <c r="D11" s="1" t="n">
        <v>300</v>
      </c>
      <c r="E11" s="192" t="n">
        <f aca="false">C11*D11</f>
        <v>112.647934284441</v>
      </c>
      <c r="F11" s="191" t="n">
        <v>275</v>
      </c>
      <c r="G11" s="194" t="n">
        <f aca="false">D11/F11</f>
        <v>1.09090909090909</v>
      </c>
      <c r="H11" s="2"/>
      <c r="I11" s="2"/>
      <c r="J11" s="2"/>
      <c r="K11" s="2"/>
      <c r="L11" s="2"/>
      <c r="M11" s="2"/>
      <c r="N11" s="2"/>
      <c r="O11" s="2"/>
      <c r="P11" s="2"/>
      <c r="Q11" s="2"/>
      <c r="R11" s="2"/>
      <c r="S11" s="2"/>
      <c r="T11" s="2"/>
      <c r="U11" s="2"/>
      <c r="V11" s="2"/>
      <c r="W11" s="2"/>
      <c r="X11" s="2"/>
      <c r="Y11" s="2"/>
      <c r="Z11" s="2"/>
    </row>
    <row r="12" customFormat="false" ht="12.8" hidden="false" customHeight="true" outlineLevel="0" collapsed="false">
      <c r="A12" s="39" t="s">
        <v>368</v>
      </c>
      <c r="B12" s="197" t="s">
        <v>369</v>
      </c>
      <c r="C12" s="197"/>
      <c r="D12" s="197"/>
      <c r="E12" s="197"/>
      <c r="F12" s="197"/>
      <c r="G12" s="198"/>
      <c r="H12" s="2"/>
      <c r="I12" s="2"/>
      <c r="J12" s="2"/>
      <c r="K12" s="2"/>
      <c r="L12" s="2"/>
      <c r="M12" s="2"/>
      <c r="N12" s="2"/>
      <c r="O12" s="2"/>
      <c r="P12" s="2"/>
      <c r="Q12" s="2"/>
      <c r="R12" s="2"/>
      <c r="S12" s="2"/>
      <c r="T12" s="2"/>
      <c r="U12" s="2"/>
      <c r="V12" s="2"/>
      <c r="W12" s="2"/>
      <c r="X12" s="2"/>
      <c r="Y12" s="2"/>
      <c r="Z12" s="2"/>
    </row>
    <row r="13" customFormat="false" ht="12.8" hidden="false" customHeight="true" outlineLevel="0" collapsed="false">
      <c r="A13" s="199" t="s">
        <v>370</v>
      </c>
      <c r="B13" s="112" t="s">
        <v>369</v>
      </c>
      <c r="C13" s="112"/>
      <c r="D13" s="112"/>
      <c r="E13" s="112"/>
      <c r="F13" s="112"/>
      <c r="G13" s="200"/>
      <c r="H13" s="2"/>
      <c r="I13" s="2"/>
      <c r="J13" s="2"/>
      <c r="K13" s="2"/>
      <c r="L13" s="2"/>
      <c r="M13" s="2"/>
      <c r="N13" s="2"/>
      <c r="O13" s="2"/>
      <c r="P13" s="2"/>
      <c r="Q13" s="2"/>
      <c r="R13" s="2"/>
      <c r="S13" s="2"/>
      <c r="T13" s="2"/>
      <c r="U13" s="2"/>
      <c r="V13" s="2"/>
      <c r="W13" s="2"/>
      <c r="X13" s="2"/>
      <c r="Y13" s="2"/>
      <c r="Z13" s="2"/>
    </row>
    <row r="14" customFormat="false" ht="12.8" hidden="false" customHeight="true" outlineLevel="0" collapsed="false">
      <c r="A14" s="2" t="s">
        <v>371</v>
      </c>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2.8"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3.8" hidden="false" customHeight="true" outlineLevel="0" collapsed="false">
      <c r="A16" s="201" t="s">
        <v>372</v>
      </c>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2.8" hidden="false" customHeight="true" outlineLevel="0" collapsed="false">
      <c r="A17" s="9" t="s">
        <v>373</v>
      </c>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2.8" hidden="false" customHeight="true" outlineLevel="0" collapsed="false">
      <c r="A18" s="2" t="s">
        <v>231</v>
      </c>
      <c r="B18" s="202" t="n">
        <f aca="false">0.0593</f>
        <v>0.0593</v>
      </c>
      <c r="C18" s="2"/>
      <c r="D18" s="2"/>
      <c r="E18" s="2"/>
      <c r="F18" s="2"/>
      <c r="G18" s="2"/>
      <c r="H18" s="2"/>
      <c r="I18" s="2"/>
      <c r="J18" s="2"/>
      <c r="K18" s="2"/>
      <c r="L18" s="2"/>
      <c r="M18" s="2"/>
      <c r="N18" s="2"/>
      <c r="O18" s="2"/>
      <c r="P18" s="2"/>
      <c r="Q18" s="2"/>
      <c r="R18" s="2"/>
      <c r="S18" s="2"/>
      <c r="T18" s="2"/>
      <c r="U18" s="2"/>
      <c r="V18" s="2"/>
      <c r="W18" s="2"/>
      <c r="X18" s="2"/>
      <c r="Y18" s="2"/>
      <c r="Z18" s="2"/>
    </row>
    <row r="19" customFormat="false" ht="12.8" hidden="false" customHeight="true" outlineLevel="0" collapsed="false">
      <c r="A19" s="2" t="s">
        <v>374</v>
      </c>
      <c r="B19" s="2" t="n">
        <f aca="false">49/2</f>
        <v>24.5</v>
      </c>
      <c r="C19" s="2"/>
      <c r="D19" s="2"/>
      <c r="E19" s="2"/>
      <c r="F19" s="2"/>
      <c r="G19" s="2"/>
      <c r="H19" s="2"/>
      <c r="I19" s="2"/>
      <c r="J19" s="2"/>
      <c r="K19" s="2"/>
      <c r="L19" s="2"/>
      <c r="M19" s="2"/>
      <c r="N19" s="2"/>
      <c r="O19" s="2"/>
      <c r="P19" s="2"/>
      <c r="Q19" s="2"/>
      <c r="R19" s="2"/>
      <c r="S19" s="2"/>
      <c r="T19" s="2"/>
      <c r="U19" s="2"/>
      <c r="V19" s="2"/>
      <c r="W19" s="2"/>
      <c r="X19" s="2"/>
      <c r="Y19" s="2"/>
      <c r="Z19" s="2"/>
    </row>
    <row r="20" customFormat="false" ht="12.8" hidden="false" customHeight="true" outlineLevel="0" collapsed="false">
      <c r="A20" s="2" t="s">
        <v>375</v>
      </c>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2.8" hidden="false" customHeight="true" outlineLevel="0" collapsed="false">
      <c r="A21" s="203" t="s">
        <v>376</v>
      </c>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2.8" hidden="false" customHeight="true" outlineLevel="0" collapsed="false">
      <c r="A22" s="204" t="s">
        <v>377</v>
      </c>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9"/>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28.35" hidden="false" customHeight="true" outlineLevel="0" collapsed="false">
      <c r="A24" s="9" t="s">
        <v>378</v>
      </c>
      <c r="B24" s="6" t="s">
        <v>379</v>
      </c>
      <c r="C24" s="6" t="s">
        <v>380</v>
      </c>
      <c r="D24" s="6" t="s">
        <v>381</v>
      </c>
      <c r="E24" s="6" t="s">
        <v>382</v>
      </c>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t="s">
        <v>383</v>
      </c>
      <c r="B25" s="205" t="n">
        <v>0.04</v>
      </c>
      <c r="C25" s="206" t="n">
        <f aca="false">B25/($B$25+$B$26+$B$27)</f>
        <v>0.129032258064516</v>
      </c>
      <c r="D25" s="206" t="n">
        <f aca="false">B25</f>
        <v>0.04</v>
      </c>
      <c r="E25" s="207" t="n">
        <f aca="false">(8*7)/2</f>
        <v>28</v>
      </c>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t="s">
        <v>384</v>
      </c>
      <c r="B26" s="205" t="n">
        <v>0.15</v>
      </c>
      <c r="C26" s="206" t="n">
        <f aca="false">B26/($B$25+$B$26+$B$27)</f>
        <v>0.483870967741935</v>
      </c>
      <c r="D26" s="206" t="n">
        <f aca="false">B26</f>
        <v>0.15</v>
      </c>
      <c r="E26" s="207" t="n">
        <f aca="false">((8+20)*7)/2</f>
        <v>98</v>
      </c>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t="s">
        <v>385</v>
      </c>
      <c r="B27" s="205" t="n">
        <v>0.12</v>
      </c>
      <c r="C27" s="206" t="n">
        <f aca="false">B27/($B$25+$B$26+$B$27)</f>
        <v>0.387096774193548</v>
      </c>
      <c r="D27" s="206" t="n">
        <v>0</v>
      </c>
      <c r="E27" s="207" t="n">
        <f aca="false">(20+72)*7/2</f>
        <v>322</v>
      </c>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t="s">
        <v>386</v>
      </c>
      <c r="B28" s="205" t="n">
        <f aca="false">(10+14)/2/100</f>
        <v>0.12</v>
      </c>
      <c r="E28" s="208" t="n">
        <f aca="false">IFERROR(__xludf.dummyfunction("AVERAGE.WEIGHTED(E24:E26,B24:B26)"),175.677419354839)</f>
        <v>175.677419354839</v>
      </c>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t="s">
        <v>387</v>
      </c>
      <c r="B29" s="2"/>
      <c r="C29" s="2"/>
      <c r="D29" s="209" t="n">
        <f aca="false">(C25+C26)*B28</f>
        <v>0.0735483870967742</v>
      </c>
      <c r="E29" s="210" t="n">
        <f aca="false">IFERROR(__xludf.dummyfunction("AVERAGE.WEIGHTED(E24:E26,D24:D26)"),83.2631578947369)</f>
        <v>83.2631578947369</v>
      </c>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t="s">
        <v>388</v>
      </c>
      <c r="B30" s="2"/>
      <c r="C30" s="2"/>
      <c r="D30" s="209"/>
      <c r="E30" s="210"/>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t="s">
        <v>375</v>
      </c>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03" t="s">
        <v>389</v>
      </c>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03" t="s">
        <v>390</v>
      </c>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03" t="s">
        <v>391</v>
      </c>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8.65" hidden="false" customHeight="true" outlineLevel="0" collapsed="false">
      <c r="A35" s="211" t="s">
        <v>392</v>
      </c>
      <c r="B35" s="211"/>
      <c r="C35" s="211"/>
      <c r="D35" s="211"/>
      <c r="E35" s="211"/>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9" t="s">
        <v>393</v>
      </c>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t="s">
        <v>394</v>
      </c>
      <c r="B38" s="207" t="s">
        <v>395</v>
      </c>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t="s">
        <v>396</v>
      </c>
      <c r="B39" s="207" t="s">
        <v>397</v>
      </c>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t="s">
        <v>398</v>
      </c>
      <c r="B40" s="212" t="n">
        <f aca="false">(5.5+11)/2/100</f>
        <v>0.0825</v>
      </c>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04" t="s">
        <v>399</v>
      </c>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25.35" hidden="false" customHeight="true" outlineLevel="0" collapsed="false">
      <c r="A43" s="2"/>
      <c r="B43" s="6" t="s">
        <v>231</v>
      </c>
      <c r="C43" s="6" t="s">
        <v>382</v>
      </c>
      <c r="D43" s="2"/>
      <c r="E43" s="2"/>
      <c r="F43" s="2"/>
      <c r="G43" s="2"/>
      <c r="H43" s="2"/>
      <c r="I43" s="2"/>
      <c r="J43" s="2"/>
      <c r="K43" s="2"/>
      <c r="L43" s="2"/>
      <c r="M43" s="2"/>
      <c r="N43" s="2"/>
      <c r="O43" s="2"/>
      <c r="P43" s="2"/>
      <c r="Q43" s="2"/>
      <c r="R43" s="2"/>
      <c r="S43" s="2"/>
      <c r="T43" s="2"/>
      <c r="U43" s="2"/>
      <c r="V43" s="2"/>
      <c r="W43" s="2"/>
      <c r="X43" s="2"/>
      <c r="Y43" s="2"/>
      <c r="Z43" s="2"/>
    </row>
    <row r="44" customFormat="false" ht="23.85" hidden="false" customHeight="true" outlineLevel="0" collapsed="false">
      <c r="A44" s="2" t="s">
        <v>400</v>
      </c>
      <c r="B44" s="205" t="n">
        <v>0.02</v>
      </c>
      <c r="C44" s="207" t="n">
        <f aca="false">7/2</f>
        <v>3.5</v>
      </c>
      <c r="D44" s="2"/>
      <c r="E44" s="2"/>
      <c r="F44" s="2"/>
      <c r="G44" s="2"/>
      <c r="H44" s="2"/>
      <c r="I44" s="2"/>
      <c r="J44" s="2"/>
      <c r="K44" s="2"/>
      <c r="L44" s="2"/>
      <c r="M44" s="2"/>
      <c r="N44" s="2"/>
      <c r="O44" s="2"/>
      <c r="P44" s="2"/>
      <c r="Q44" s="2"/>
      <c r="R44" s="2"/>
      <c r="S44" s="2"/>
      <c r="T44" s="2"/>
      <c r="U44" s="2"/>
      <c r="V44" s="2"/>
      <c r="W44" s="2"/>
      <c r="X44" s="2"/>
      <c r="Y44" s="2"/>
      <c r="Z44" s="2"/>
    </row>
    <row r="45" customFormat="false" ht="22.35" hidden="false" customHeight="true" outlineLevel="0" collapsed="false">
      <c r="A45" s="2" t="s">
        <v>401</v>
      </c>
      <c r="B45" s="202" t="n">
        <f aca="false">60/980</f>
        <v>0.0612244897959184</v>
      </c>
      <c r="C45" s="210" t="n">
        <f aca="false">(4.5*30.5)/2</f>
        <v>68.625</v>
      </c>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t="s">
        <v>317</v>
      </c>
      <c r="B46" s="2"/>
      <c r="C46" s="208" t="n">
        <f aca="false">IFERROR(__xludf.dummyfunction("AVERAGE.WEIGHTED(C41:C42,B41:B42)"),52.5891959798995)</f>
        <v>52.5891959798995</v>
      </c>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04" t="s">
        <v>399</v>
      </c>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27.6" hidden="false" customHeight="true" outlineLevel="0" collapsed="false">
      <c r="A49" s="9" t="s">
        <v>366</v>
      </c>
      <c r="B49" s="6" t="s">
        <v>231</v>
      </c>
      <c r="C49" s="6" t="s">
        <v>402</v>
      </c>
      <c r="D49" s="6" t="s">
        <v>382</v>
      </c>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t="s">
        <v>403</v>
      </c>
      <c r="B50" s="202" t="n">
        <v>0.097</v>
      </c>
      <c r="C50" s="213" t="n">
        <f aca="false">B50*1000</f>
        <v>97</v>
      </c>
      <c r="D50" s="210" t="n">
        <f aca="false">(3/2)*7</f>
        <v>10.5</v>
      </c>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t="s">
        <v>404</v>
      </c>
      <c r="B51" s="202" t="n">
        <v>0.036</v>
      </c>
      <c r="C51" s="213" t="n">
        <f aca="false">B51*(1000-C50)</f>
        <v>32.508</v>
      </c>
      <c r="D51" s="210" t="n">
        <f aca="false">((3+8.5)/2)*7</f>
        <v>40.25</v>
      </c>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t="s">
        <v>405</v>
      </c>
      <c r="B52" s="202" t="n">
        <v>0.041</v>
      </c>
      <c r="C52" s="213" t="n">
        <f aca="false">B52*(1000-C51-C50)</f>
        <v>35.690172</v>
      </c>
      <c r="D52" s="210" t="n">
        <f aca="false">((8.5+24)/2)*7</f>
        <v>113.75</v>
      </c>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t="s">
        <v>406</v>
      </c>
      <c r="B53" s="214" t="n">
        <f aca="false">(C52+C51+C50)/1000</f>
        <v>0.165198172</v>
      </c>
      <c r="D53" s="210" t="n">
        <f aca="false">IFERROR(__xludf.dummyfunction("AVERAGE.WEIGHTED(D48:D50,B48:B50)"),40.9841954022989)</f>
        <v>40.9841954022989</v>
      </c>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t="s">
        <v>375</v>
      </c>
      <c r="B54" s="2"/>
      <c r="C54" s="2"/>
      <c r="D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03" t="s">
        <v>407</v>
      </c>
      <c r="B55" s="2"/>
      <c r="C55" s="2"/>
      <c r="D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04" t="s">
        <v>391</v>
      </c>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27.6" hidden="false" customHeight="true" outlineLevel="0" collapsed="false">
      <c r="A58" s="9" t="s">
        <v>20</v>
      </c>
      <c r="B58" s="6" t="s">
        <v>231</v>
      </c>
      <c r="C58" s="6" t="s">
        <v>402</v>
      </c>
      <c r="D58" s="6" t="s">
        <v>382</v>
      </c>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t="s">
        <v>408</v>
      </c>
      <c r="B59" s="215" t="n">
        <v>0.062</v>
      </c>
      <c r="C59" s="216" t="n">
        <f aca="false">B59*1000</f>
        <v>62</v>
      </c>
      <c r="D59" s="207" t="n">
        <f aca="false">365/2</f>
        <v>182.5</v>
      </c>
      <c r="E59" s="2"/>
      <c r="G59" s="9" t="s">
        <v>409</v>
      </c>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t="s">
        <v>410</v>
      </c>
      <c r="B60" s="215" t="n">
        <v>0.022</v>
      </c>
      <c r="C60" s="216" t="n">
        <f aca="false">B60*(1000-C59)</f>
        <v>20.636</v>
      </c>
      <c r="D60" s="207" t="n">
        <f aca="false">(1098+365)/2</f>
        <v>731.5</v>
      </c>
      <c r="E60" s="2"/>
      <c r="G60" s="76" t="s">
        <v>411</v>
      </c>
      <c r="H60" s="76" t="n">
        <v>25226880</v>
      </c>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t="s">
        <v>406</v>
      </c>
      <c r="B61" s="215" t="n">
        <f aca="false">(C59+C60)/1000</f>
        <v>0.082636</v>
      </c>
      <c r="C61" s="2"/>
      <c r="D61" s="210" t="n">
        <f aca="false">IFERROR(__xludf.dummyfunction("AVERAGE.WEIGHTED(D58:D59,B58:B59)"),326.285714285714)</f>
        <v>326.285714285714</v>
      </c>
      <c r="E61" s="2"/>
      <c r="G61" s="76" t="s">
        <v>412</v>
      </c>
      <c r="H61" s="78" t="n">
        <v>0.08264</v>
      </c>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17" t="s">
        <v>413</v>
      </c>
      <c r="B62" s="4"/>
      <c r="C62" s="2"/>
      <c r="D62" s="2"/>
      <c r="E62" s="2"/>
      <c r="G62" s="76" t="s">
        <v>414</v>
      </c>
      <c r="H62" s="76" t="n">
        <v>2085251</v>
      </c>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4"/>
      <c r="C63" s="2"/>
      <c r="D63" s="2"/>
      <c r="E63" s="2"/>
      <c r="G63" s="76"/>
      <c r="H63" s="76"/>
      <c r="I63" s="2"/>
      <c r="J63" s="2"/>
      <c r="K63" s="2"/>
      <c r="L63" s="2"/>
      <c r="M63" s="2"/>
      <c r="N63" s="2"/>
      <c r="O63" s="2"/>
      <c r="P63" s="2"/>
      <c r="Q63" s="2"/>
      <c r="R63" s="2"/>
      <c r="S63" s="2"/>
      <c r="T63" s="2"/>
      <c r="U63" s="2"/>
      <c r="V63" s="2"/>
      <c r="W63" s="2"/>
      <c r="X63" s="2"/>
      <c r="Y63" s="2"/>
      <c r="Z63" s="2"/>
    </row>
    <row r="64" customFormat="false" ht="26.85" hidden="false" customHeight="true" outlineLevel="0" collapsed="false">
      <c r="A64" s="9" t="s">
        <v>415</v>
      </c>
      <c r="B64" s="6" t="s">
        <v>379</v>
      </c>
      <c r="C64" s="6" t="s">
        <v>402</v>
      </c>
      <c r="D64" s="6" t="s">
        <v>381</v>
      </c>
      <c r="E64" s="6" t="s">
        <v>382</v>
      </c>
      <c r="G64" s="76" t="s">
        <v>416</v>
      </c>
      <c r="H64" s="76" t="n">
        <v>4680000</v>
      </c>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t="s">
        <v>417</v>
      </c>
      <c r="B65" s="212" t="n">
        <v>0.064</v>
      </c>
      <c r="C65" s="210" t="n">
        <f aca="false">B65*1000</f>
        <v>64</v>
      </c>
      <c r="D65" s="214" t="n">
        <f aca="false">B65</f>
        <v>0.064</v>
      </c>
      <c r="E65" s="210" t="n">
        <f aca="false">(6/2)*7</f>
        <v>21</v>
      </c>
      <c r="G65" s="76" t="s">
        <v>418</v>
      </c>
      <c r="H65" s="78" t="n">
        <v>0.1075</v>
      </c>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t="s">
        <v>419</v>
      </c>
      <c r="B66" s="212" t="n">
        <v>0.019</v>
      </c>
      <c r="C66" s="210" t="n">
        <f aca="false">B66*(1000-C65)</f>
        <v>17.784</v>
      </c>
      <c r="D66" s="214" t="n">
        <f aca="false">B66</f>
        <v>0.019</v>
      </c>
      <c r="E66" s="210" t="n">
        <f aca="false">((30+1.5)/2)*30.5</f>
        <v>480.375</v>
      </c>
      <c r="G66" s="76" t="s">
        <v>420</v>
      </c>
      <c r="H66" s="76" t="n">
        <f aca="false">H65*H64</f>
        <v>503100</v>
      </c>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t="s">
        <v>421</v>
      </c>
      <c r="B67" s="212" t="n">
        <v>0.058</v>
      </c>
      <c r="C67" s="210" t="n">
        <f aca="false">B67*(1000-C66-C65)</f>
        <v>53.256528</v>
      </c>
      <c r="D67" s="206" t="n">
        <v>0</v>
      </c>
      <c r="E67" s="210" t="n">
        <f aca="false">((68+30)/2)*30.5</f>
        <v>1494.5</v>
      </c>
      <c r="G67" s="218"/>
      <c r="H67" s="218"/>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t="s">
        <v>386</v>
      </c>
      <c r="B68" s="212" t="n">
        <f aca="false">(C67+C66+C65)/1000</f>
        <v>0.135040528</v>
      </c>
      <c r="D68" s="4"/>
      <c r="E68" s="210" t="n">
        <f aca="false">IFERROR(__xludf.dummyfunction("AVERAGE.WEIGHTED(E65:E67,B65:B67)"),689.022163120567)</f>
        <v>689.022163120567</v>
      </c>
      <c r="G68" s="76" t="s">
        <v>422</v>
      </c>
      <c r="H68" s="219" t="n">
        <f aca="false">H66/H62</f>
        <v>0.241265919546376</v>
      </c>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t="s">
        <v>387</v>
      </c>
      <c r="C69" s="2"/>
      <c r="D69" s="220" t="n">
        <f aca="false">1-(1-D65)*(1-D66)</f>
        <v>0.0817840000000001</v>
      </c>
      <c r="E69" s="221" t="n">
        <f aca="false">IFERROR(__xludf.dummyfunction("AVERAGE.WEIGHTED(E65:E67,D65:D67)"),126.15813253012)</f>
        <v>126.15813253012</v>
      </c>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t="s">
        <v>423</v>
      </c>
      <c r="B70" s="121" t="n">
        <v>0.1075</v>
      </c>
      <c r="C70" s="2" t="n">
        <v>150</v>
      </c>
      <c r="D70" s="220" t="n">
        <v>0.15</v>
      </c>
      <c r="E70" s="213"/>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t="s">
        <v>424</v>
      </c>
      <c r="C71" s="2"/>
      <c r="D71" s="220" t="n">
        <f aca="false">D69+D70</f>
        <v>0.231784</v>
      </c>
      <c r="E71" s="213"/>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04" t="s">
        <v>425</v>
      </c>
      <c r="B72" s="4"/>
      <c r="C72" s="2"/>
      <c r="D72" s="4"/>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t="s">
        <v>426</v>
      </c>
      <c r="B73" s="4"/>
      <c r="C73" s="2"/>
      <c r="D73" s="4"/>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04" t="s">
        <v>427</v>
      </c>
      <c r="B74" s="4"/>
      <c r="C74" s="2"/>
      <c r="D74" s="4"/>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04" t="s">
        <v>428</v>
      </c>
      <c r="B75" s="4"/>
      <c r="C75" s="2"/>
      <c r="D75" s="4"/>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t="s">
        <v>429</v>
      </c>
      <c r="B76" s="4"/>
      <c r="C76" s="2"/>
      <c r="D76" s="4"/>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t="s">
        <v>430</v>
      </c>
      <c r="B77" s="4"/>
      <c r="C77" s="2"/>
      <c r="D77" s="4"/>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t="s">
        <v>431</v>
      </c>
      <c r="B78" s="4"/>
      <c r="C78" s="2"/>
      <c r="D78" s="4"/>
      <c r="E78" s="2"/>
      <c r="F78" s="2"/>
      <c r="G78" s="2"/>
      <c r="H78" s="2"/>
      <c r="I78" s="2"/>
      <c r="J78" s="2"/>
      <c r="K78" s="2"/>
      <c r="L78" s="2"/>
      <c r="M78" s="2"/>
      <c r="N78" s="2"/>
      <c r="O78" s="2"/>
      <c r="P78" s="2"/>
      <c r="Q78" s="2"/>
      <c r="R78" s="2"/>
      <c r="S78" s="2"/>
      <c r="T78" s="2"/>
      <c r="U78" s="2"/>
      <c r="V78" s="2"/>
      <c r="W78" s="2"/>
      <c r="X78" s="2"/>
      <c r="Y78" s="2"/>
      <c r="Z78" s="2"/>
    </row>
    <row r="79" customFormat="false" ht="33.55" hidden="false" customHeight="true" outlineLevel="0" collapsed="false">
      <c r="A79" s="9" t="s">
        <v>23</v>
      </c>
      <c r="B79" s="6" t="s">
        <v>379</v>
      </c>
      <c r="C79" s="6" t="s">
        <v>402</v>
      </c>
      <c r="D79" s="6" t="s">
        <v>381</v>
      </c>
      <c r="E79" s="6" t="s">
        <v>382</v>
      </c>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t="s">
        <v>432</v>
      </c>
      <c r="B80" s="220" t="n">
        <v>0.194</v>
      </c>
      <c r="C80" s="210" t="n">
        <v>194</v>
      </c>
      <c r="D80" s="220" t="n">
        <v>0.194</v>
      </c>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t="s">
        <v>433</v>
      </c>
      <c r="B81" s="220" t="n">
        <v>0.098</v>
      </c>
      <c r="C81" s="210" t="n">
        <f aca="false">B81*1000</f>
        <v>98</v>
      </c>
      <c r="D81" s="220" t="n">
        <v>0.098</v>
      </c>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D82" s="220" t="n">
        <f aca="false">1-(1-D80)*(1-D81)</f>
        <v>0.272988</v>
      </c>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t="s">
        <v>434</v>
      </c>
      <c r="B83" s="4"/>
      <c r="C83" s="2"/>
      <c r="D83" s="4"/>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row r="85" customFormat="false" ht="28.35" hidden="false" customHeight="true" outlineLevel="0" collapsed="false">
      <c r="A85" s="9" t="s">
        <v>114</v>
      </c>
      <c r="B85" s="6" t="s">
        <v>379</v>
      </c>
      <c r="C85" s="6" t="s">
        <v>402</v>
      </c>
      <c r="D85" s="6" t="s">
        <v>381</v>
      </c>
      <c r="E85" s="6" t="s">
        <v>382</v>
      </c>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t="s">
        <v>435</v>
      </c>
      <c r="B86" s="212" t="n">
        <v>0.12</v>
      </c>
      <c r="C86" s="210" t="n">
        <f aca="false">B86*1000</f>
        <v>120</v>
      </c>
      <c r="D86" s="220" t="n">
        <f aca="false">B86</f>
        <v>0.12</v>
      </c>
      <c r="E86" s="210"/>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t="s">
        <v>436</v>
      </c>
      <c r="B87" s="212" t="n">
        <v>0.068</v>
      </c>
      <c r="C87" s="210" t="n">
        <f aca="false">B87*1000</f>
        <v>68</v>
      </c>
      <c r="D87" s="220" t="n">
        <f aca="false">B87</f>
        <v>0.068</v>
      </c>
      <c r="E87" s="210"/>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t="s">
        <v>387</v>
      </c>
      <c r="C88" s="2"/>
      <c r="D88" s="220" t="n">
        <f aca="false">1-(1-D86)*(1-D87)</f>
        <v>0.17984</v>
      </c>
      <c r="E88" s="213"/>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04" t="s">
        <v>437</v>
      </c>
      <c r="B89" s="4"/>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4"/>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sheetData>
  <mergeCells count="3">
    <mergeCell ref="B12:F12"/>
    <mergeCell ref="B13:F13"/>
    <mergeCell ref="A35:E35"/>
  </mergeCells>
  <hyperlinks>
    <hyperlink ref="A21" r:id="rId2" display="https://www.aphis.usda.gov/animal_health/emergency_management/downloads/documents_manuals/poultry_ind_manual.pdf"/>
    <hyperlink ref="A22" r:id="rId3" display="https://thepoultrysite.com/articles/mortality-patterns-associated-with-commercial-broiler-production"/>
    <hyperlink ref="A32" r:id="rId4" display="http://www.fao.org/3/Y4628E/y4628e03.htm"/>
    <hyperlink ref="A33" r:id="rId5" display="https://www.aphis.usda.gov/animal_health/nahms/poultry/downloads/layers2013/Layers2013_dr_PartI.pdf"/>
    <hyperlink ref="A34" r:id="rId6" display="https://www.nrcs.usda.gov/Internet/FSE_DOCUMENTS/nrcseprd380437.pdf"/>
    <hyperlink ref="A35" r:id="rId7" display="Krautwald-Junghanns M-E, Cramer K, Fischer B, Förster A, Galli R, Kremer F, et al. Current approaches to avoid the culling of day-old male chicks in the layer industry, with specialreference to spectroscopic methods. Poult Sci. 2018;97:749–57."/>
    <hyperlink ref="A41" r:id="rId8" display="Source: https://www.aphis.usda.gov/animal_health/emergency_management/downloads/documents_manuals/poultry_ind_manual.pdf"/>
    <hyperlink ref="A47" r:id="rId9" display="Source: https://www.aphis.usda.gov/animal_health/emergency_management/downloads/documents_manuals/poultry_ind_manual.pdf"/>
    <hyperlink ref="A55" r:id="rId10" display="https://www.aphis.usda.gov/animal_health/nahms/swine/downloads/swine2012/Swine2012_dr_PartI.pdf"/>
    <hyperlink ref="A56" r:id="rId11" display="https://www.nrcs.usda.gov/Internet/FSE_DOCUMENTS/nrcseprd380437.pdf"/>
    <hyperlink ref="A62" r:id="rId12" display="Source: Page 10 https://www.aphis.usda.gov/animal_health/nahms/general/downloads/cattle_calves_deathloss_2015.pdf"/>
    <hyperlink ref="A72" r:id="rId13" display="Source: Page 28 https://www.aphis.usda.gov/animal_health/nahms/dairy/downloads/dairy14/Dairy14_dr_PartIII.pdf"/>
    <hyperlink ref="A73" r:id="rId14" display="https://www.nass.usda.gov/Newsroom/2024/01-31-2024.php"/>
    <hyperlink ref="A76" r:id="rId15" display="source: https://g.co/gemini/share/b647bad7427a"/>
    <hyperlink ref="A77" r:id="rId16" display="https://www.researchgate.net/publication/332821645_Quantifying_calf_mortality_on_dairy_farms_Challenges_and_solutions"/>
    <hyperlink ref="A78" r:id="rId17" display="https://www.journalofdairyscience.org/action/showPdf?pii=S0022-0302%2820%2930033-3"/>
    <hyperlink ref="A83" r:id="rId18" display="source: https://www.aphis.usda.gov/sites/default/files/goat_kid_deathloss_2015.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1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1328125" defaultRowHeight="15" customHeight="true" zeroHeight="false" outlineLevelRow="0" outlineLevelCol="0"/>
  <cols>
    <col collapsed="false" customWidth="true" hidden="false" outlineLevel="0" max="1" min="1" style="1" width="19.61"/>
    <col collapsed="false" customWidth="true" hidden="false" outlineLevel="0" max="2" min="2" style="1" width="22.88"/>
    <col collapsed="false" customWidth="true" hidden="false" outlineLevel="0" max="3" min="3" style="1" width="31.36"/>
    <col collapsed="false" customWidth="true" hidden="false" outlineLevel="0" max="4" min="4" style="1" width="25.31"/>
    <col collapsed="false" customWidth="true" hidden="false" outlineLevel="0" max="6" min="5" style="1" width="14.52"/>
    <col collapsed="false" customWidth="true" hidden="false" outlineLevel="0" max="7" min="7" style="1" width="15.11"/>
    <col collapsed="false" customWidth="true" hidden="false" outlineLevel="0" max="8" min="8" style="1" width="16.89"/>
    <col collapsed="false" customWidth="true" hidden="false" outlineLevel="0" max="26" min="9" style="1" width="14.52"/>
  </cols>
  <sheetData>
    <row r="1" customFormat="false" ht="15.75" hidden="false" customHeight="true" outlineLevel="0" collapsed="false">
      <c r="A1" s="222" t="s">
        <v>438</v>
      </c>
      <c r="B1" s="223"/>
      <c r="C1" s="223"/>
      <c r="D1" s="223"/>
      <c r="E1" s="223"/>
      <c r="F1" s="223"/>
      <c r="G1" s="223"/>
      <c r="H1" s="223"/>
    </row>
    <row r="2" customFormat="false" ht="15.75" hidden="false" customHeight="true" outlineLevel="0" collapsed="false">
      <c r="A2" s="223"/>
      <c r="B2" s="223"/>
      <c r="C2" s="223"/>
      <c r="D2" s="223"/>
      <c r="E2" s="223"/>
      <c r="F2" s="223"/>
      <c r="G2" s="223"/>
      <c r="H2" s="223"/>
    </row>
    <row r="3" customFormat="false" ht="37.3" hidden="false" customHeight="true" outlineLevel="0" collapsed="false">
      <c r="A3" s="224" t="s">
        <v>439</v>
      </c>
      <c r="B3" s="223"/>
      <c r="C3" s="223"/>
      <c r="D3" s="223"/>
      <c r="E3" s="223"/>
      <c r="F3" s="223"/>
      <c r="G3" s="223"/>
      <c r="H3" s="223"/>
    </row>
    <row r="4" customFormat="false" ht="15.75" hidden="false" customHeight="true" outlineLevel="0" collapsed="false">
      <c r="A4" s="225"/>
      <c r="B4" s="223"/>
      <c r="C4" s="223"/>
      <c r="D4" s="223"/>
      <c r="E4" s="223"/>
      <c r="F4" s="223"/>
      <c r="G4" s="223"/>
      <c r="H4" s="223"/>
    </row>
    <row r="5" customFormat="false" ht="15.75" hidden="false" customHeight="true" outlineLevel="0" collapsed="false">
      <c r="A5" s="223" t="s">
        <v>440</v>
      </c>
      <c r="B5" s="223" t="s">
        <v>441</v>
      </c>
      <c r="C5" s="223" t="s">
        <v>442</v>
      </c>
      <c r="D5" s="223" t="s">
        <v>443</v>
      </c>
      <c r="E5" s="223" t="s">
        <v>444</v>
      </c>
      <c r="F5" s="223" t="s">
        <v>445</v>
      </c>
      <c r="G5" s="223" t="s">
        <v>446</v>
      </c>
      <c r="H5" s="223" t="s">
        <v>447</v>
      </c>
    </row>
    <row r="6" customFormat="false" ht="15.75" hidden="false" customHeight="true" outlineLevel="0" collapsed="false">
      <c r="A6" s="225" t="s">
        <v>448</v>
      </c>
      <c r="B6" s="225" t="s">
        <v>449</v>
      </c>
      <c r="C6" s="225" t="s">
        <v>450</v>
      </c>
      <c r="D6" s="225" t="s">
        <v>451</v>
      </c>
      <c r="E6" s="207" t="n">
        <v>2023</v>
      </c>
      <c r="F6" s="225" t="s">
        <v>452</v>
      </c>
      <c r="G6" s="226" t="n">
        <v>17.077</v>
      </c>
      <c r="H6" s="225" t="s">
        <v>453</v>
      </c>
      <c r="I6" s="1" t="s">
        <v>454</v>
      </c>
    </row>
    <row r="7" customFormat="false" ht="15.75" hidden="false" customHeight="true" outlineLevel="0" collapsed="false">
      <c r="A7" s="225" t="s">
        <v>448</v>
      </c>
      <c r="B7" s="225" t="s">
        <v>449</v>
      </c>
      <c r="C7" s="225" t="s">
        <v>455</v>
      </c>
      <c r="D7" s="225" t="s">
        <v>456</v>
      </c>
      <c r="E7" s="207" t="n">
        <v>2023</v>
      </c>
      <c r="F7" s="225" t="s">
        <v>452</v>
      </c>
      <c r="G7" s="227" t="n">
        <v>369</v>
      </c>
      <c r="H7" s="225" t="s">
        <v>457</v>
      </c>
      <c r="I7" s="1" t="s">
        <v>454</v>
      </c>
    </row>
    <row r="8" customFormat="false" ht="15.75" hidden="false" customHeight="true" outlineLevel="0" collapsed="false">
      <c r="A8" s="225" t="s">
        <v>448</v>
      </c>
      <c r="B8" s="225" t="s">
        <v>449</v>
      </c>
      <c r="C8" s="225" t="s">
        <v>455</v>
      </c>
      <c r="D8" s="225" t="s">
        <v>458</v>
      </c>
      <c r="E8" s="207" t="n">
        <v>2023</v>
      </c>
      <c r="F8" s="225" t="s">
        <v>452</v>
      </c>
      <c r="G8" s="226" t="n">
        <v>2.095</v>
      </c>
      <c r="H8" s="225" t="s">
        <v>459</v>
      </c>
      <c r="I8" s="1" t="s">
        <v>454</v>
      </c>
    </row>
    <row r="9" customFormat="false" ht="15.75" hidden="false" customHeight="true" outlineLevel="0" collapsed="false">
      <c r="A9" s="225" t="s">
        <v>448</v>
      </c>
      <c r="B9" s="225" t="s">
        <v>449</v>
      </c>
      <c r="C9" s="225" t="s">
        <v>455</v>
      </c>
      <c r="D9" s="225" t="s">
        <v>460</v>
      </c>
      <c r="E9" s="207" t="n">
        <v>2023</v>
      </c>
      <c r="F9" s="225" t="s">
        <v>452</v>
      </c>
      <c r="G9" s="228" t="n">
        <v>97</v>
      </c>
      <c r="H9" s="225" t="s">
        <v>459</v>
      </c>
      <c r="I9" s="1" t="s">
        <v>454</v>
      </c>
    </row>
    <row r="10" customFormat="false" ht="15.75" hidden="false" customHeight="true" outlineLevel="0" collapsed="false">
      <c r="A10" s="225" t="s">
        <v>448</v>
      </c>
      <c r="B10" s="225" t="s">
        <v>449</v>
      </c>
      <c r="C10" s="225" t="s">
        <v>455</v>
      </c>
      <c r="D10" s="225" t="s">
        <v>461</v>
      </c>
      <c r="E10" s="207" t="n">
        <v>2023</v>
      </c>
      <c r="F10" s="225" t="s">
        <v>452</v>
      </c>
      <c r="G10" s="229" t="n">
        <v>11.46</v>
      </c>
      <c r="H10" s="225" t="s">
        <v>459</v>
      </c>
      <c r="I10" s="1" t="s">
        <v>454</v>
      </c>
    </row>
    <row r="11" customFormat="false" ht="15.75" hidden="false" customHeight="true" outlineLevel="0" collapsed="false">
      <c r="A11" s="225" t="s">
        <v>448</v>
      </c>
      <c r="B11" s="225" t="s">
        <v>449</v>
      </c>
      <c r="C11" s="225" t="s">
        <v>462</v>
      </c>
      <c r="D11" s="225" t="s">
        <v>463</v>
      </c>
      <c r="E11" s="207" t="n">
        <v>2023</v>
      </c>
      <c r="F11" s="225" t="s">
        <v>464</v>
      </c>
      <c r="G11" s="2" t="n">
        <v>9397500</v>
      </c>
      <c r="H11" s="225" t="s">
        <v>457</v>
      </c>
      <c r="I11" s="1" t="s">
        <v>454</v>
      </c>
    </row>
    <row r="12" customFormat="false" ht="15.75" hidden="false" customHeight="true" outlineLevel="0" collapsed="false">
      <c r="A12" s="225" t="s">
        <v>448</v>
      </c>
      <c r="B12" s="225" t="s">
        <v>449</v>
      </c>
      <c r="C12" s="225" t="s">
        <v>450</v>
      </c>
      <c r="D12" s="225" t="s">
        <v>463</v>
      </c>
      <c r="E12" s="207" t="n">
        <v>2023</v>
      </c>
      <c r="F12" s="225" t="s">
        <v>452</v>
      </c>
      <c r="G12" s="227" t="n">
        <f aca="false">G13/G11*1000</f>
        <v>10926.0021282256</v>
      </c>
      <c r="H12" s="225" t="s">
        <v>459</v>
      </c>
      <c r="I12" s="1" t="s">
        <v>454</v>
      </c>
    </row>
    <row r="13" customFormat="false" ht="15.75" hidden="false" customHeight="true" outlineLevel="0" collapsed="false">
      <c r="A13" s="225" t="s">
        <v>448</v>
      </c>
      <c r="B13" s="225" t="s">
        <v>449</v>
      </c>
      <c r="C13" s="225" t="s">
        <v>465</v>
      </c>
      <c r="D13" s="225" t="s">
        <v>463</v>
      </c>
      <c r="E13" s="207" t="n">
        <v>2023</v>
      </c>
      <c r="F13" s="225" t="s">
        <v>466</v>
      </c>
      <c r="G13" s="2" t="n">
        <v>102677105</v>
      </c>
      <c r="H13" s="225" t="s">
        <v>457</v>
      </c>
      <c r="I13" s="1" t="s">
        <v>454</v>
      </c>
    </row>
    <row r="14" customFormat="false" ht="15.75" hidden="false" customHeight="true" outlineLevel="0" collapsed="false">
      <c r="A14" s="225" t="s">
        <v>448</v>
      </c>
      <c r="B14" s="225" t="s">
        <v>449</v>
      </c>
      <c r="C14" s="225" t="s">
        <v>450</v>
      </c>
      <c r="D14" s="2" t="s">
        <v>467</v>
      </c>
      <c r="E14" s="207" t="n">
        <v>2023</v>
      </c>
      <c r="F14" s="225" t="s">
        <v>452</v>
      </c>
      <c r="G14" s="2" t="n">
        <v>27</v>
      </c>
      <c r="H14" s="225" t="s">
        <v>457</v>
      </c>
      <c r="I14" s="1" t="s">
        <v>454</v>
      </c>
    </row>
    <row r="15" customFormat="false" ht="15.75" hidden="false" customHeight="true" outlineLevel="0" collapsed="false">
      <c r="A15" s="225" t="s">
        <v>448</v>
      </c>
      <c r="B15" s="225" t="s">
        <v>449</v>
      </c>
      <c r="C15" s="225" t="s">
        <v>450</v>
      </c>
      <c r="D15" s="225" t="s">
        <v>468</v>
      </c>
      <c r="E15" s="207" t="n">
        <v>2023</v>
      </c>
      <c r="F15" s="225" t="s">
        <v>452</v>
      </c>
      <c r="G15" s="2" t="n">
        <v>15</v>
      </c>
      <c r="H15" s="225" t="s">
        <v>469</v>
      </c>
      <c r="I15" s="1" t="s">
        <v>454</v>
      </c>
    </row>
    <row r="16" customFormat="false" ht="15.75" hidden="false" customHeight="true" outlineLevel="0" collapsed="false">
      <c r="A16" s="225"/>
      <c r="C16" s="225"/>
      <c r="D16" s="225"/>
      <c r="E16" s="207"/>
      <c r="F16" s="225"/>
      <c r="H16" s="225"/>
    </row>
    <row r="17" customFormat="false" ht="15.75" hidden="false" customHeight="true" outlineLevel="0" collapsed="false">
      <c r="A17" s="225"/>
      <c r="B17" s="225"/>
      <c r="C17" s="225"/>
      <c r="D17" s="225"/>
      <c r="E17" s="207"/>
      <c r="F17" s="225"/>
      <c r="G17" s="2"/>
      <c r="H17" s="225"/>
    </row>
    <row r="18" customFormat="false" ht="15.75" hidden="false" customHeight="true" outlineLevel="0" collapsed="false">
      <c r="A18" s="225"/>
      <c r="B18" s="225"/>
      <c r="C18" s="225"/>
      <c r="D18" s="225"/>
      <c r="E18" s="225"/>
      <c r="F18" s="225"/>
      <c r="G18" s="207"/>
      <c r="H18" s="225"/>
    </row>
    <row r="19" customFormat="false" ht="15.75" hidden="false" customHeight="true" outlineLevel="0" collapsed="false">
      <c r="A19" s="225"/>
      <c r="B19" s="225"/>
      <c r="C19" s="225"/>
      <c r="D19" s="225"/>
      <c r="E19" s="225"/>
      <c r="F19" s="225"/>
      <c r="G19" s="207"/>
      <c r="H19" s="225"/>
    </row>
    <row r="20" customFormat="false" ht="15.75" hidden="false" customHeight="true" outlineLevel="0" collapsed="false">
      <c r="A20" s="225"/>
      <c r="B20" s="225"/>
      <c r="C20" s="225"/>
      <c r="D20" s="225"/>
      <c r="E20" s="225"/>
      <c r="F20" s="225"/>
      <c r="G20" s="207"/>
      <c r="H20" s="225"/>
    </row>
    <row r="21" customFormat="false" ht="15.75" hidden="false" customHeight="true" outlineLevel="0" collapsed="false">
      <c r="A21" s="225"/>
      <c r="B21" s="225"/>
      <c r="C21" s="225"/>
      <c r="D21" s="225"/>
      <c r="E21" s="225"/>
      <c r="F21" s="225"/>
      <c r="G21" s="225"/>
      <c r="H21" s="225"/>
    </row>
    <row r="22" customFormat="false" ht="15.75" hidden="false" customHeight="true" outlineLevel="0" collapsed="false">
      <c r="A22" s="225"/>
      <c r="B22" s="225"/>
      <c r="C22" s="225"/>
      <c r="D22" s="225"/>
      <c r="E22" s="225"/>
      <c r="F22" s="225"/>
      <c r="G22" s="207"/>
      <c r="H22" s="225"/>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15625" defaultRowHeight="12.8" customHeight="true" zeroHeight="false" outlineLevelRow="0" outlineLevelCol="0"/>
  <cols>
    <col collapsed="false" customWidth="true" hidden="false" outlineLevel="0" max="1" min="1" style="1" width="20.56"/>
    <col collapsed="false" customWidth="true" hidden="false" outlineLevel="0" max="2" min="2" style="1" width="37.54"/>
    <col collapsed="false" customWidth="true" hidden="false" outlineLevel="0" max="3" min="3" style="1" width="12.92"/>
    <col collapsed="false" customWidth="true" hidden="false" outlineLevel="0" max="9" min="9" style="1" width="79.69"/>
  </cols>
  <sheetData>
    <row r="1" customFormat="false" ht="57.45" hidden="false" customHeight="true" outlineLevel="0" collapsed="false">
      <c r="A1" s="4" t="s">
        <v>290</v>
      </c>
      <c r="B1" s="4" t="s">
        <v>470</v>
      </c>
      <c r="C1" s="4" t="s">
        <v>471</v>
      </c>
      <c r="D1" s="4" t="s">
        <v>472</v>
      </c>
      <c r="E1" s="4" t="s">
        <v>473</v>
      </c>
      <c r="F1" s="4" t="s">
        <v>474</v>
      </c>
      <c r="G1" s="4" t="s">
        <v>475</v>
      </c>
      <c r="H1" s="4" t="s">
        <v>476</v>
      </c>
      <c r="I1" s="4" t="s">
        <v>477</v>
      </c>
      <c r="J1" s="4"/>
      <c r="K1" s="4"/>
    </row>
    <row r="2" customFormat="false" ht="20.1" hidden="false" customHeight="true" outlineLevel="0" collapsed="false">
      <c r="A2" s="4" t="s">
        <v>20</v>
      </c>
      <c r="B2" s="4" t="s">
        <v>478</v>
      </c>
      <c r="C2" s="4" t="n">
        <v>0.1</v>
      </c>
      <c r="D2" s="4" t="n">
        <v>0.75</v>
      </c>
      <c r="E2" s="4" t="n">
        <v>0.9</v>
      </c>
      <c r="F2" s="4" t="n">
        <v>0.65</v>
      </c>
      <c r="G2" s="4" t="n">
        <f aca="false">C2*D2+E2*F2</f>
        <v>0.66</v>
      </c>
      <c r="H2" s="230" t="n">
        <f aca="false">100%-G2</f>
        <v>0.34</v>
      </c>
      <c r="I2" s="4" t="s">
        <v>479</v>
      </c>
      <c r="J2" s="4"/>
      <c r="K2" s="4"/>
    </row>
    <row r="3" customFormat="false" ht="12.65" hidden="false" customHeight="true" outlineLevel="0" collapsed="false">
      <c r="A3" s="4" t="s">
        <v>25</v>
      </c>
      <c r="B3" s="4" t="s">
        <v>480</v>
      </c>
      <c r="C3" s="4" t="n">
        <v>0.3</v>
      </c>
      <c r="D3" s="4" t="n">
        <v>0.74</v>
      </c>
      <c r="E3" s="4" t="n">
        <v>0.7</v>
      </c>
      <c r="F3" s="4" t="n">
        <v>0.65</v>
      </c>
      <c r="G3" s="4" t="n">
        <f aca="false">C3*D3+E3*F3</f>
        <v>0.677</v>
      </c>
      <c r="H3" s="230" t="n">
        <f aca="false">100%-G3</f>
        <v>0.323</v>
      </c>
      <c r="I3" s="4" t="s">
        <v>481</v>
      </c>
      <c r="J3" s="4"/>
      <c r="K3" s="4"/>
    </row>
    <row r="4" customFormat="false" ht="15.65" hidden="false" customHeight="true" outlineLevel="0" collapsed="false">
      <c r="A4" s="4" t="s">
        <v>21</v>
      </c>
      <c r="B4" s="4" t="s">
        <v>482</v>
      </c>
      <c r="C4" s="4" t="n">
        <v>0.45</v>
      </c>
      <c r="D4" s="4" t="n">
        <v>0.96</v>
      </c>
      <c r="E4" s="4" t="n">
        <v>0.55</v>
      </c>
      <c r="F4" s="4" t="n">
        <v>0.74</v>
      </c>
      <c r="G4" s="4" t="n">
        <f aca="false">C4*D4+E4*F4</f>
        <v>0.839</v>
      </c>
      <c r="H4" s="230" t="n">
        <f aca="false">100%-G4</f>
        <v>0.161</v>
      </c>
      <c r="I4" s="4" t="s">
        <v>483</v>
      </c>
      <c r="J4" s="4"/>
      <c r="K4" s="4"/>
    </row>
    <row r="5" customFormat="false" ht="21.6" hidden="false" customHeight="true" outlineLevel="0" collapsed="false">
      <c r="A5" s="4" t="s">
        <v>26</v>
      </c>
      <c r="B5" s="4" t="s">
        <v>482</v>
      </c>
      <c r="C5" s="4" t="n">
        <v>0.6</v>
      </c>
      <c r="D5" s="4" t="n">
        <v>0.96</v>
      </c>
      <c r="E5" s="4" t="n">
        <v>0.4</v>
      </c>
      <c r="F5" s="4" t="n">
        <v>0.74</v>
      </c>
      <c r="G5" s="4" t="n">
        <f aca="false">C5*D5+E5*F5</f>
        <v>0.872</v>
      </c>
      <c r="H5" s="230" t="n">
        <f aca="false">100%-G5</f>
        <v>0.128</v>
      </c>
      <c r="I5" s="4" t="s">
        <v>483</v>
      </c>
      <c r="J5" s="4"/>
      <c r="K5" s="4"/>
    </row>
    <row r="6" customFormat="false" ht="17.9" hidden="false" customHeight="true" outlineLevel="0" collapsed="false">
      <c r="A6" s="4" t="s">
        <v>114</v>
      </c>
      <c r="B6" s="4" t="s">
        <v>480</v>
      </c>
      <c r="C6" s="4" t="n">
        <v>0.6</v>
      </c>
      <c r="D6" s="4" t="n">
        <v>0.7</v>
      </c>
      <c r="E6" s="4" t="n">
        <v>0.4</v>
      </c>
      <c r="F6" s="4" t="n">
        <v>0.465</v>
      </c>
      <c r="G6" s="4" t="n">
        <f aca="false">C6*D6+E6*F6</f>
        <v>0.606</v>
      </c>
      <c r="H6" s="230" t="n">
        <f aca="false">100%-G6</f>
        <v>0.394</v>
      </c>
      <c r="I6" s="4" t="s">
        <v>484</v>
      </c>
      <c r="J6" s="4"/>
      <c r="K6" s="4"/>
    </row>
    <row r="7" customFormat="false" ht="18.65" hidden="false" customHeight="true" outlineLevel="0" collapsed="false">
      <c r="A7" s="4" t="s">
        <v>23</v>
      </c>
      <c r="B7" s="4" t="s">
        <v>480</v>
      </c>
      <c r="C7" s="4" t="n">
        <v>0.6</v>
      </c>
      <c r="D7" s="4" t="n">
        <v>0.7</v>
      </c>
      <c r="E7" s="4" t="n">
        <v>0.4</v>
      </c>
      <c r="F7" s="4" t="n">
        <v>0.465</v>
      </c>
      <c r="G7" s="4" t="n">
        <f aca="false">C7*D7+E7*F7</f>
        <v>0.606</v>
      </c>
      <c r="H7" s="230" t="n">
        <f aca="false">100%-G7</f>
        <v>0.394</v>
      </c>
      <c r="I7" s="4" t="s">
        <v>484</v>
      </c>
      <c r="J7" s="4"/>
      <c r="K7" s="4"/>
    </row>
    <row r="8" customFormat="false" ht="18.65" hidden="false" customHeight="true" outlineLevel="0" collapsed="false">
      <c r="A8" s="4" t="s">
        <v>22</v>
      </c>
      <c r="B8" s="4" t="s">
        <v>485</v>
      </c>
      <c r="C8" s="4"/>
      <c r="D8" s="4"/>
      <c r="E8" s="4"/>
      <c r="F8" s="4"/>
      <c r="G8" s="4" t="n">
        <v>0.985</v>
      </c>
      <c r="H8" s="4" t="n">
        <v>0.015</v>
      </c>
      <c r="I8" s="4" t="s">
        <v>486</v>
      </c>
      <c r="J8" s="4"/>
      <c r="K8" s="4"/>
    </row>
    <row r="9" customFormat="false" ht="12.8" hidden="false" customHeight="true" outlineLevel="0" collapsed="false">
      <c r="A9" s="4" t="s">
        <v>487</v>
      </c>
      <c r="B9" s="4" t="s">
        <v>488</v>
      </c>
      <c r="C9" s="4"/>
      <c r="D9" s="4"/>
      <c r="E9" s="4"/>
      <c r="F9" s="4"/>
      <c r="G9" s="4" t="n">
        <f aca="false">E39</f>
        <v>0.949293535351624</v>
      </c>
      <c r="H9" s="4"/>
      <c r="I9" s="4" t="s">
        <v>489</v>
      </c>
      <c r="J9" s="4"/>
      <c r="K9" s="4"/>
    </row>
    <row r="10" customFormat="false" ht="12.8" hidden="false" customHeight="true" outlineLevel="0" collapsed="false">
      <c r="A10" s="4"/>
      <c r="B10" s="4"/>
      <c r="C10" s="4"/>
      <c r="D10" s="4"/>
      <c r="E10" s="4"/>
      <c r="F10" s="4"/>
      <c r="G10" s="4"/>
      <c r="H10" s="4"/>
      <c r="I10" s="4"/>
      <c r="J10" s="4"/>
      <c r="K10" s="4"/>
    </row>
    <row r="11" customFormat="false" ht="12.8" hidden="false" customHeight="true" outlineLevel="0" collapsed="false">
      <c r="A11" s="4"/>
      <c r="B11" s="4"/>
      <c r="C11" s="4"/>
      <c r="D11" s="4"/>
      <c r="E11" s="4"/>
      <c r="F11" s="4"/>
      <c r="G11" s="4"/>
      <c r="H11" s="4"/>
      <c r="I11" s="4"/>
      <c r="J11" s="4"/>
      <c r="K11" s="4"/>
    </row>
    <row r="12" customFormat="false" ht="12.8" hidden="false" customHeight="true" outlineLevel="0" collapsed="false">
      <c r="A12" s="4"/>
      <c r="B12" s="4"/>
      <c r="C12" s="4"/>
      <c r="D12" s="4"/>
      <c r="E12" s="4"/>
      <c r="F12" s="4"/>
      <c r="G12" s="4"/>
      <c r="H12" s="4"/>
      <c r="I12" s="4"/>
      <c r="J12" s="4"/>
      <c r="K12" s="4"/>
    </row>
    <row r="13" customFormat="false" ht="12.8" hidden="false" customHeight="true" outlineLevel="0" collapsed="false">
      <c r="A13" s="4" t="s">
        <v>490</v>
      </c>
      <c r="B13" s="4"/>
      <c r="C13" s="4"/>
      <c r="D13" s="4"/>
      <c r="E13" s="4"/>
      <c r="F13" s="4"/>
      <c r="G13" s="4"/>
      <c r="H13" s="4"/>
      <c r="I13" s="4"/>
      <c r="J13" s="4"/>
      <c r="K13" s="4"/>
    </row>
    <row r="14" customFormat="false" ht="17.9" hidden="false" customHeight="true" outlineLevel="0" collapsed="false">
      <c r="A14" s="4" t="s">
        <v>491</v>
      </c>
      <c r="B14" s="4" t="s">
        <v>465</v>
      </c>
      <c r="C14" s="4" t="n">
        <v>102747</v>
      </c>
      <c r="D14" s="4" t="s">
        <v>492</v>
      </c>
      <c r="E14" s="4"/>
      <c r="F14" s="4"/>
      <c r="G14" s="4"/>
      <c r="H14" s="4"/>
      <c r="I14" s="4"/>
      <c r="J14" s="4"/>
      <c r="K14" s="4"/>
    </row>
    <row r="15" customFormat="false" ht="15.65" hidden="false" customHeight="true" outlineLevel="0" collapsed="false">
      <c r="A15" s="4"/>
      <c r="B15" s="4" t="s">
        <v>493</v>
      </c>
      <c r="C15" s="4" t="n">
        <v>6627</v>
      </c>
      <c r="D15" s="4" t="s">
        <v>492</v>
      </c>
      <c r="E15" s="4"/>
      <c r="F15" s="4"/>
      <c r="G15" s="4"/>
      <c r="H15" s="4"/>
      <c r="I15" s="4"/>
      <c r="J15" s="4"/>
      <c r="K15" s="4"/>
    </row>
    <row r="16" customFormat="false" ht="13.4" hidden="false" customHeight="true" outlineLevel="0" collapsed="false">
      <c r="A16" s="4"/>
      <c r="B16" s="4" t="s">
        <v>494</v>
      </c>
      <c r="C16" s="4" t="n">
        <v>4495</v>
      </c>
      <c r="D16" s="4" t="s">
        <v>492</v>
      </c>
      <c r="E16" s="4"/>
      <c r="F16" s="4"/>
      <c r="G16" s="4"/>
      <c r="H16" s="4"/>
      <c r="I16" s="4"/>
      <c r="J16" s="4"/>
      <c r="K16" s="4"/>
    </row>
    <row r="17" customFormat="false" ht="14.9" hidden="false" customHeight="true" outlineLevel="0" collapsed="false">
      <c r="A17" s="4"/>
      <c r="B17" s="4" t="s">
        <v>495</v>
      </c>
      <c r="C17" s="4" t="n">
        <v>120</v>
      </c>
      <c r="D17" s="4" t="s">
        <v>492</v>
      </c>
      <c r="E17" s="4"/>
      <c r="F17" s="4"/>
      <c r="G17" s="4"/>
      <c r="H17" s="4"/>
      <c r="I17" s="4"/>
      <c r="J17" s="4"/>
      <c r="K17" s="4"/>
    </row>
    <row r="18" customFormat="false" ht="15.65" hidden="false" customHeight="true" outlineLevel="0" collapsed="false">
      <c r="A18" s="4"/>
      <c r="B18" s="4" t="s">
        <v>496</v>
      </c>
      <c r="C18" s="4" t="n">
        <v>104759</v>
      </c>
      <c r="D18" s="4" t="s">
        <v>492</v>
      </c>
      <c r="E18" s="4" t="n">
        <f aca="false">C14+C15-C16-C17</f>
        <v>104759</v>
      </c>
      <c r="F18" s="4"/>
      <c r="G18" s="4"/>
      <c r="H18" s="4"/>
      <c r="I18" s="4"/>
      <c r="J18" s="4"/>
      <c r="K18" s="4"/>
    </row>
    <row r="19" customFormat="false" ht="12.8" hidden="false" customHeight="true" outlineLevel="0" collapsed="false">
      <c r="A19" s="4"/>
      <c r="B19" s="4"/>
      <c r="C19" s="4"/>
      <c r="D19" s="4"/>
      <c r="E19" s="4"/>
      <c r="F19" s="4"/>
      <c r="G19" s="4"/>
      <c r="H19" s="4"/>
      <c r="I19" s="4"/>
      <c r="J19" s="4"/>
      <c r="K19" s="4"/>
    </row>
    <row r="20" customFormat="false" ht="13.4" hidden="false" customHeight="true" outlineLevel="0" collapsed="false">
      <c r="A20" s="4" t="s">
        <v>497</v>
      </c>
      <c r="B20" s="4" t="s">
        <v>498</v>
      </c>
      <c r="C20" s="4" t="n">
        <v>4802</v>
      </c>
      <c r="D20" s="4" t="s">
        <v>492</v>
      </c>
      <c r="E20" s="4"/>
      <c r="F20" s="4"/>
      <c r="G20" s="4"/>
      <c r="H20" s="4"/>
      <c r="I20" s="4"/>
      <c r="J20" s="4"/>
      <c r="K20" s="4"/>
    </row>
    <row r="21" customFormat="false" ht="19.4" hidden="false" customHeight="true" outlineLevel="0" collapsed="false">
      <c r="A21" s="4" t="s">
        <v>497</v>
      </c>
      <c r="B21" s="4" t="s">
        <v>499</v>
      </c>
      <c r="C21" s="4" t="n">
        <v>638</v>
      </c>
      <c r="D21" s="4" t="s">
        <v>492</v>
      </c>
      <c r="E21" s="4"/>
      <c r="F21" s="4"/>
      <c r="G21" s="4"/>
      <c r="H21" s="4"/>
      <c r="I21" s="4"/>
      <c r="J21" s="4"/>
      <c r="K21" s="4"/>
    </row>
    <row r="22" customFormat="false" ht="14.9" hidden="false" customHeight="true" outlineLevel="0" collapsed="false">
      <c r="A22" s="4" t="s">
        <v>497</v>
      </c>
      <c r="B22" s="4" t="s">
        <v>500</v>
      </c>
      <c r="C22" s="4" t="n">
        <v>-96</v>
      </c>
      <c r="D22" s="4" t="s">
        <v>492</v>
      </c>
      <c r="E22" s="4" t="n">
        <f aca="false">C20+C21+C22</f>
        <v>5344</v>
      </c>
      <c r="F22" s="4"/>
      <c r="G22" s="4"/>
      <c r="H22" s="4"/>
      <c r="I22" s="4"/>
      <c r="J22" s="4"/>
      <c r="K22" s="4"/>
    </row>
    <row r="23" customFormat="false" ht="12.8" hidden="false" customHeight="true" outlineLevel="0" collapsed="false">
      <c r="A23" s="4"/>
      <c r="B23" s="4"/>
      <c r="C23" s="4"/>
      <c r="D23" s="4"/>
      <c r="E23" s="4"/>
      <c r="F23" s="4"/>
      <c r="G23" s="4"/>
      <c r="H23" s="4"/>
      <c r="I23" s="4"/>
      <c r="J23" s="4"/>
      <c r="K23" s="4"/>
    </row>
    <row r="24" customFormat="false" ht="12.8" hidden="false" customHeight="true" outlineLevel="0" collapsed="false">
      <c r="A24" s="4" t="s">
        <v>501</v>
      </c>
      <c r="B24" s="4" t="s">
        <v>502</v>
      </c>
      <c r="C24" s="4" t="n">
        <v>77915</v>
      </c>
      <c r="D24" s="4" t="s">
        <v>492</v>
      </c>
      <c r="E24" s="4"/>
      <c r="F24" s="4"/>
      <c r="G24" s="4"/>
      <c r="H24" s="4"/>
      <c r="I24" s="4"/>
      <c r="J24" s="4"/>
      <c r="K24" s="4"/>
    </row>
    <row r="25" customFormat="false" ht="12.8" hidden="false" customHeight="true" outlineLevel="0" collapsed="false">
      <c r="A25" s="4" t="s">
        <v>501</v>
      </c>
      <c r="B25" s="4" t="s">
        <v>503</v>
      </c>
      <c r="C25" s="4" t="n">
        <v>21500</v>
      </c>
      <c r="D25" s="4" t="s">
        <v>492</v>
      </c>
      <c r="E25" s="4" t="n">
        <f aca="false">C25+C24</f>
        <v>99415</v>
      </c>
      <c r="F25" s="4"/>
      <c r="G25" s="4"/>
      <c r="H25" s="4"/>
      <c r="I25" s="4"/>
      <c r="J25" s="4"/>
      <c r="K25" s="4"/>
    </row>
    <row r="26" customFormat="false" ht="12.8" hidden="false" customHeight="true" outlineLevel="0" collapsed="false">
      <c r="A26" s="4"/>
      <c r="B26" s="4"/>
      <c r="C26" s="4"/>
      <c r="D26" s="4"/>
      <c r="E26" s="4"/>
      <c r="F26" s="4"/>
      <c r="G26" s="4"/>
      <c r="H26" s="4"/>
      <c r="I26" s="4"/>
      <c r="J26" s="4"/>
      <c r="K26" s="4"/>
    </row>
    <row r="27" customFormat="false" ht="14.9" hidden="false" customHeight="true" outlineLevel="0" collapsed="false">
      <c r="A27" s="4" t="s">
        <v>504</v>
      </c>
      <c r="B27" s="4" t="s">
        <v>465</v>
      </c>
      <c r="C27" s="4" t="n">
        <v>945</v>
      </c>
      <c r="D27" s="4" t="s">
        <v>492</v>
      </c>
      <c r="E27" s="4"/>
      <c r="F27" s="4"/>
      <c r="G27" s="4"/>
      <c r="H27" s="4"/>
      <c r="I27" s="4"/>
      <c r="J27" s="4"/>
      <c r="K27" s="4"/>
    </row>
    <row r="28" customFormat="false" ht="17.9" hidden="false" customHeight="true" outlineLevel="0" collapsed="false">
      <c r="A28" s="4"/>
      <c r="B28" s="4" t="s">
        <v>493</v>
      </c>
      <c r="C28" s="4" t="n">
        <v>53</v>
      </c>
      <c r="D28" s="4" t="s">
        <v>492</v>
      </c>
      <c r="E28" s="4"/>
      <c r="F28" s="4"/>
      <c r="G28" s="4"/>
      <c r="H28" s="4"/>
      <c r="I28" s="4"/>
      <c r="J28" s="4"/>
      <c r="K28" s="4"/>
    </row>
    <row r="29" customFormat="false" ht="21.6" hidden="false" customHeight="true" outlineLevel="0" collapsed="false">
      <c r="A29" s="4"/>
      <c r="B29" s="4" t="s">
        <v>494</v>
      </c>
      <c r="C29" s="4" t="n">
        <v>82</v>
      </c>
      <c r="D29" s="4" t="s">
        <v>492</v>
      </c>
      <c r="E29" s="4"/>
      <c r="F29" s="4"/>
      <c r="G29" s="4"/>
      <c r="H29" s="4"/>
      <c r="I29" s="4"/>
      <c r="J29" s="4"/>
      <c r="K29" s="4"/>
    </row>
    <row r="30" customFormat="false" ht="17.15" hidden="false" customHeight="true" outlineLevel="0" collapsed="false">
      <c r="A30" s="4"/>
      <c r="B30" s="4" t="s">
        <v>495</v>
      </c>
      <c r="C30" s="4" t="n">
        <v>8</v>
      </c>
      <c r="D30" s="4" t="s">
        <v>492</v>
      </c>
      <c r="E30" s="4"/>
      <c r="F30" s="4"/>
      <c r="G30" s="4"/>
      <c r="H30" s="4"/>
      <c r="I30" s="4"/>
      <c r="J30" s="4"/>
      <c r="K30" s="4"/>
    </row>
    <row r="31" customFormat="false" ht="14.9" hidden="false" customHeight="true" outlineLevel="0" collapsed="false">
      <c r="A31" s="4"/>
      <c r="B31" s="4" t="s">
        <v>496</v>
      </c>
      <c r="C31" s="4" t="n">
        <v>908</v>
      </c>
      <c r="D31" s="4" t="s">
        <v>492</v>
      </c>
      <c r="E31" s="4" t="n">
        <f aca="false">C27+C28-C29-C30</f>
        <v>908</v>
      </c>
      <c r="F31" s="4"/>
      <c r="G31" s="4"/>
      <c r="H31" s="4"/>
      <c r="I31" s="4"/>
      <c r="J31" s="4"/>
      <c r="K31" s="4"/>
    </row>
    <row r="32" customFormat="false" ht="12.8" hidden="false" customHeight="true" outlineLevel="0" collapsed="false">
      <c r="A32" s="4"/>
      <c r="B32" s="4"/>
      <c r="C32" s="4"/>
      <c r="D32" s="4"/>
      <c r="E32" s="4"/>
      <c r="F32" s="4"/>
      <c r="G32" s="4"/>
      <c r="H32" s="4"/>
      <c r="I32" s="4"/>
      <c r="J32" s="4"/>
      <c r="K32" s="4"/>
    </row>
    <row r="33" customFormat="false" ht="12.8" hidden="false" customHeight="true" outlineLevel="0" collapsed="false">
      <c r="A33" s="4" t="s">
        <v>501</v>
      </c>
      <c r="B33" s="4" t="s">
        <v>502</v>
      </c>
      <c r="C33" s="4" t="n">
        <v>894</v>
      </c>
      <c r="D33" s="4" t="s">
        <v>492</v>
      </c>
      <c r="E33" s="4" t="n">
        <f aca="false">C33</f>
        <v>894</v>
      </c>
      <c r="F33" s="4"/>
      <c r="G33" s="4"/>
      <c r="H33" s="4"/>
      <c r="I33" s="4"/>
      <c r="J33" s="4"/>
      <c r="K33" s="4"/>
    </row>
    <row r="34" customFormat="false" ht="12.8" hidden="false" customHeight="true" outlineLevel="0" collapsed="false">
      <c r="A34" s="4"/>
      <c r="B34" s="4"/>
      <c r="C34" s="4"/>
      <c r="D34" s="4"/>
      <c r="E34" s="4"/>
      <c r="F34" s="4"/>
      <c r="G34" s="4"/>
      <c r="H34" s="4"/>
      <c r="I34" s="4"/>
      <c r="J34" s="4"/>
      <c r="K34" s="4"/>
    </row>
    <row r="35" customFormat="false" ht="16.4" hidden="false" customHeight="true" outlineLevel="0" collapsed="false">
      <c r="A35" s="4" t="s">
        <v>497</v>
      </c>
      <c r="B35" s="4" t="s">
        <v>505</v>
      </c>
      <c r="C35" s="4" t="n">
        <v>14</v>
      </c>
      <c r="D35" s="4" t="s">
        <v>492</v>
      </c>
      <c r="E35" s="4" t="n">
        <v>14</v>
      </c>
      <c r="F35" s="4"/>
      <c r="G35" s="4"/>
      <c r="H35" s="4"/>
      <c r="I35" s="4"/>
      <c r="J35" s="4"/>
      <c r="K35" s="4"/>
    </row>
    <row r="36" customFormat="false" ht="12.8" hidden="false" customHeight="true" outlineLevel="0" collapsed="false">
      <c r="A36" s="4"/>
      <c r="B36" s="4"/>
      <c r="C36" s="4"/>
      <c r="D36" s="4"/>
      <c r="E36" s="4"/>
      <c r="F36" s="4"/>
      <c r="G36" s="4"/>
      <c r="H36" s="4"/>
      <c r="I36" s="4"/>
      <c r="J36" s="4"/>
      <c r="K36" s="4"/>
    </row>
    <row r="37" customFormat="false" ht="23.85" hidden="false" customHeight="true" outlineLevel="0" collapsed="false">
      <c r="A37" s="4"/>
      <c r="B37" s="4"/>
      <c r="C37" s="4" t="s">
        <v>506</v>
      </c>
      <c r="D37" s="4"/>
      <c r="E37" s="4" t="n">
        <f aca="false">E18+E31</f>
        <v>105667</v>
      </c>
      <c r="F37" s="4"/>
      <c r="G37" s="4"/>
      <c r="H37" s="4"/>
      <c r="I37" s="4"/>
      <c r="J37" s="4"/>
      <c r="K37" s="4"/>
    </row>
    <row r="38" customFormat="false" ht="12.8" hidden="false" customHeight="true" outlineLevel="0" collapsed="false">
      <c r="A38" s="4"/>
      <c r="B38" s="4"/>
      <c r="C38" s="4" t="s">
        <v>507</v>
      </c>
      <c r="D38" s="4"/>
      <c r="E38" s="4" t="n">
        <f aca="false">E25+E33</f>
        <v>100309</v>
      </c>
      <c r="F38" s="4"/>
      <c r="G38" s="4"/>
      <c r="H38" s="4"/>
      <c r="I38" s="4"/>
      <c r="J38" s="4"/>
      <c r="K38" s="4"/>
    </row>
    <row r="39" customFormat="false" ht="12.8" hidden="false" customHeight="true" outlineLevel="0" collapsed="false">
      <c r="A39" s="4"/>
      <c r="B39" s="4"/>
      <c r="C39" s="4" t="s">
        <v>508</v>
      </c>
      <c r="D39" s="4"/>
      <c r="E39" s="4" t="n">
        <f aca="false">E38/E37</f>
        <v>0.949293535351624</v>
      </c>
      <c r="F39" s="4"/>
      <c r="G39" s="4"/>
      <c r="H39" s="4"/>
      <c r="I39" s="4"/>
      <c r="J39" s="4"/>
      <c r="K39" s="4"/>
    </row>
  </sheetData>
  <hyperlinks>
    <hyperlink ref="I2" r:id="rId1" display="https://extension.sdstate.edu/how-much-meat-can-you-expect-fed-steer"/>
    <hyperlink ref="I3" r:id="rId2" display="https://livestock.extension.wisc.edu/articles/how-much-meat-should-a-hog-yield/"/>
    <hyperlink ref="I4" r:id="rId3" display="https://www.ams.usda.gov/sites/default/files/media/QAD%20635%20-%20Standard%20Yield.pdf"/>
    <hyperlink ref="I5" r:id="rId4" display="https://www.ams.usda.gov/sites/default/files/media/QAD%20635%20-%20Standard%20Yield.pdf"/>
    <hyperlink ref="I6" r:id="rId5" display="https://livestock.extension.wisc.edu/articles/how-much-meat-should-a-lamb-yield/"/>
    <hyperlink ref="I7" r:id="rId6" display="https://livestock.extension.wisc.edu/articles/how-much-meat-should-a-lamb-yield/"/>
    <hyperlink ref="I8" r:id="rId7" display="https://ers.usda.gov/sites/default/files/_laserfiche/DataFiles/50472/meat.xls?v=74023"/>
    <hyperlink ref="I9" r:id="rId8" location="data/FBS" display="https://www.fao.org/faostat/en/#data/FB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Roman,Regular"&amp;12ffffff&amp;A</oddHeader>
    <oddFooter>&amp;C&amp;"Times New Roman,Regular"&amp;12ffffffPage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3.52"/>
    <col collapsed="false" customWidth="true" hidden="false" outlineLevel="0" max="7" min="2" style="1" width="16.12"/>
    <col collapsed="false" customWidth="true" hidden="false" outlineLevel="0" max="26" min="8" style="1" width="14.52"/>
  </cols>
  <sheetData>
    <row r="1" customFormat="false" ht="15" hidden="false" customHeight="false" outlineLevel="0" collapsed="false">
      <c r="A1" s="231" t="s">
        <v>509</v>
      </c>
    </row>
    <row r="2" customFormat="false" ht="15.75" hidden="false" customHeight="true" outlineLevel="0" collapsed="false">
      <c r="A2" s="142"/>
      <c r="B2" s="142"/>
      <c r="C2" s="142"/>
      <c r="D2" s="142"/>
      <c r="E2" s="142"/>
      <c r="F2" s="142"/>
      <c r="G2" s="142"/>
    </row>
    <row r="3" customFormat="false" ht="15.75" hidden="false" customHeight="true" outlineLevel="0" collapsed="false">
      <c r="A3" s="232" t="s">
        <v>510</v>
      </c>
      <c r="B3" s="142"/>
      <c r="C3" s="142"/>
      <c r="D3" s="142"/>
      <c r="E3" s="142"/>
      <c r="F3" s="142"/>
      <c r="G3" s="142"/>
    </row>
    <row r="4" customFormat="false" ht="15.75" hidden="false" customHeight="true" outlineLevel="0" collapsed="false">
      <c r="A4" s="142"/>
      <c r="B4" s="142"/>
      <c r="C4" s="142"/>
      <c r="D4" s="142"/>
      <c r="E4" s="142"/>
      <c r="F4" s="142"/>
      <c r="G4" s="142"/>
    </row>
    <row r="5" customFormat="false" ht="61.5" hidden="false" customHeight="true" outlineLevel="0" collapsed="false">
      <c r="A5" s="142" t="s">
        <v>290</v>
      </c>
      <c r="B5" s="143" t="s">
        <v>511</v>
      </c>
      <c r="C5" s="143" t="s">
        <v>512</v>
      </c>
      <c r="D5" s="143" t="s">
        <v>513</v>
      </c>
      <c r="E5" s="143" t="s">
        <v>291</v>
      </c>
      <c r="F5" s="143" t="s">
        <v>292</v>
      </c>
      <c r="G5" s="143" t="s">
        <v>293</v>
      </c>
    </row>
    <row r="6" customFormat="false" ht="12.8" hidden="false" customHeight="false" outlineLevel="0" collapsed="false">
      <c r="A6" s="144" t="s">
        <v>514</v>
      </c>
      <c r="B6" s="144" t="s">
        <v>515</v>
      </c>
      <c r="D6" s="146" t="s">
        <v>515</v>
      </c>
      <c r="E6" s="145" t="n">
        <v>500</v>
      </c>
      <c r="F6" s="145" t="n">
        <v>2500</v>
      </c>
      <c r="G6" s="146" t="s">
        <v>295</v>
      </c>
    </row>
    <row r="7" customFormat="false" ht="12.8" hidden="false" customHeight="false" outlineLevel="0" collapsed="false">
      <c r="A7" s="144" t="s">
        <v>516</v>
      </c>
      <c r="B7" s="144" t="s">
        <v>517</v>
      </c>
      <c r="D7" s="146" t="s">
        <v>517</v>
      </c>
      <c r="E7" s="145" t="n">
        <v>300</v>
      </c>
      <c r="F7" s="145" t="n">
        <v>1500</v>
      </c>
      <c r="G7" s="146" t="s">
        <v>295</v>
      </c>
    </row>
    <row r="8" customFormat="false" ht="12.8" hidden="false" customHeight="false" outlineLevel="0" collapsed="false">
      <c r="A8" s="144" t="s">
        <v>518</v>
      </c>
      <c r="B8" s="144" t="s">
        <v>519</v>
      </c>
      <c r="D8" s="146" t="s">
        <v>519</v>
      </c>
      <c r="E8" s="145" t="n">
        <v>250</v>
      </c>
      <c r="F8" s="145" t="n">
        <v>800</v>
      </c>
      <c r="G8" s="146" t="s">
        <v>295</v>
      </c>
    </row>
    <row r="9" customFormat="false" ht="12.8" hidden="false" customHeight="false" outlineLevel="0" collapsed="false">
      <c r="A9" s="144" t="s">
        <v>520</v>
      </c>
      <c r="B9" s="144" t="s">
        <v>515</v>
      </c>
      <c r="D9" s="146" t="s">
        <v>515</v>
      </c>
      <c r="E9" s="145" t="n">
        <v>500</v>
      </c>
      <c r="F9" s="145" t="n">
        <v>2500</v>
      </c>
      <c r="G9" s="146" t="s">
        <v>295</v>
      </c>
    </row>
    <row r="10" customFormat="false" ht="12.8" hidden="false" customHeight="false" outlineLevel="0" collapsed="false">
      <c r="A10" s="144" t="s">
        <v>521</v>
      </c>
      <c r="B10" s="144" t="s">
        <v>522</v>
      </c>
      <c r="D10" s="146" t="s">
        <v>522</v>
      </c>
      <c r="E10" s="145" t="n">
        <v>500</v>
      </c>
      <c r="F10" s="145" t="n">
        <v>1500</v>
      </c>
      <c r="G10" s="146" t="s">
        <v>295</v>
      </c>
    </row>
    <row r="11" customFormat="false" ht="12.8" hidden="false" customHeight="false" outlineLevel="0" collapsed="false">
      <c r="A11" s="144" t="s">
        <v>523</v>
      </c>
      <c r="B11" s="144" t="s">
        <v>524</v>
      </c>
      <c r="D11" s="146" t="s">
        <v>524</v>
      </c>
      <c r="E11" s="145" t="n">
        <v>150</v>
      </c>
      <c r="F11" s="145" t="n">
        <v>400</v>
      </c>
      <c r="G11" s="146" t="s">
        <v>295</v>
      </c>
    </row>
    <row r="12" customFormat="false" ht="12.8" hidden="false" customHeight="false" outlineLevel="0" collapsed="false">
      <c r="A12" s="144" t="s">
        <v>525</v>
      </c>
      <c r="B12" s="144" t="s">
        <v>526</v>
      </c>
      <c r="D12" s="146" t="s">
        <v>526</v>
      </c>
      <c r="E12" s="145" t="n">
        <v>300</v>
      </c>
      <c r="F12" s="145" t="n">
        <v>2000</v>
      </c>
      <c r="G12" s="146" t="s">
        <v>295</v>
      </c>
    </row>
    <row r="13" customFormat="false" ht="12.8" hidden="false" customHeight="false" outlineLevel="0" collapsed="false">
      <c r="A13" s="144" t="s">
        <v>527</v>
      </c>
      <c r="B13" s="144" t="s">
        <v>528</v>
      </c>
      <c r="D13" s="146" t="s">
        <v>528</v>
      </c>
      <c r="E13" s="145" t="n">
        <v>3614</v>
      </c>
      <c r="F13" s="145" t="n">
        <v>8434</v>
      </c>
      <c r="G13" s="146" t="s">
        <v>295</v>
      </c>
    </row>
    <row r="14" customFormat="false" ht="12.8" hidden="false" customHeight="false" outlineLevel="0" collapsed="false">
      <c r="A14" s="144" t="s">
        <v>529</v>
      </c>
      <c r="B14" s="144" t="s">
        <v>517</v>
      </c>
      <c r="D14" s="146" t="s">
        <v>517</v>
      </c>
      <c r="E14" s="145" t="n">
        <v>300</v>
      </c>
      <c r="F14" s="145" t="n">
        <v>1500</v>
      </c>
      <c r="G14" s="146" t="s">
        <v>295</v>
      </c>
    </row>
    <row r="15" customFormat="false" ht="12.8" hidden="false" customHeight="false" outlineLevel="0" collapsed="false">
      <c r="A15" s="144" t="s">
        <v>530</v>
      </c>
      <c r="B15" s="144" t="s">
        <v>522</v>
      </c>
      <c r="D15" s="146" t="s">
        <v>522</v>
      </c>
      <c r="E15" s="145" t="n">
        <v>500</v>
      </c>
      <c r="F15" s="145" t="n">
        <v>1500</v>
      </c>
      <c r="G15" s="146" t="s">
        <v>295</v>
      </c>
    </row>
    <row r="16" customFormat="false" ht="12.8" hidden="false" customHeight="false" outlineLevel="0" collapsed="false">
      <c r="A16" s="144" t="s">
        <v>531</v>
      </c>
      <c r="B16" s="144" t="s">
        <v>532</v>
      </c>
      <c r="D16" s="146" t="s">
        <v>532</v>
      </c>
      <c r="E16" s="145" t="n">
        <v>250</v>
      </c>
      <c r="F16" s="145" t="n">
        <v>500</v>
      </c>
      <c r="G16" s="146" t="s">
        <v>295</v>
      </c>
    </row>
    <row r="17" customFormat="false" ht="12.8" hidden="false" customHeight="false" outlineLevel="0" collapsed="false">
      <c r="A17" s="144" t="s">
        <v>533</v>
      </c>
      <c r="B17" s="144" t="s">
        <v>519</v>
      </c>
      <c r="D17" s="146" t="s">
        <v>519</v>
      </c>
      <c r="E17" s="145" t="n">
        <v>250</v>
      </c>
      <c r="F17" s="145" t="n">
        <v>800</v>
      </c>
      <c r="G17" s="146" t="s">
        <v>295</v>
      </c>
    </row>
    <row r="18" customFormat="false" ht="12.8" hidden="false" customHeight="false" outlineLevel="0" collapsed="false">
      <c r="A18" s="144" t="s">
        <v>534</v>
      </c>
      <c r="B18" s="144" t="s">
        <v>522</v>
      </c>
      <c r="D18" s="146" t="s">
        <v>522</v>
      </c>
      <c r="E18" s="145" t="n">
        <v>500</v>
      </c>
      <c r="F18" s="145" t="n">
        <v>1500</v>
      </c>
      <c r="G18" s="146" t="s">
        <v>295</v>
      </c>
    </row>
    <row r="19" customFormat="false" ht="12.8" hidden="false" customHeight="false" outlineLevel="0" collapsed="false">
      <c r="A19" s="144" t="s">
        <v>535</v>
      </c>
      <c r="B19" s="144" t="s">
        <v>536</v>
      </c>
      <c r="D19" s="146" t="s">
        <v>536</v>
      </c>
      <c r="E19" s="145" t="n">
        <v>450</v>
      </c>
      <c r="F19" s="145" t="n">
        <v>500</v>
      </c>
      <c r="G19" s="146" t="s">
        <v>295</v>
      </c>
    </row>
    <row r="20" customFormat="false" ht="12.8" hidden="false" customHeight="false" outlineLevel="0" collapsed="false">
      <c r="A20" s="144" t="s">
        <v>537</v>
      </c>
      <c r="B20" s="144" t="s">
        <v>538</v>
      </c>
      <c r="D20" s="146" t="s">
        <v>538</v>
      </c>
      <c r="E20" s="145" t="n">
        <v>210</v>
      </c>
      <c r="F20" s="145" t="n">
        <v>5000</v>
      </c>
      <c r="G20" s="146" t="s">
        <v>295</v>
      </c>
    </row>
    <row r="21" customFormat="false" ht="15.75" hidden="false" customHeight="true" outlineLevel="0" collapsed="false">
      <c r="A21" s="144" t="s">
        <v>539</v>
      </c>
      <c r="B21" s="144" t="s">
        <v>540</v>
      </c>
      <c r="D21" s="146" t="s">
        <v>540</v>
      </c>
      <c r="E21" s="145" t="n">
        <v>2000</v>
      </c>
      <c r="F21" s="145" t="n">
        <v>3000</v>
      </c>
      <c r="G21" s="146" t="s">
        <v>295</v>
      </c>
    </row>
    <row r="22" customFormat="false" ht="15.75" hidden="false" customHeight="true" outlineLevel="0" collapsed="false">
      <c r="A22" s="144" t="s">
        <v>541</v>
      </c>
      <c r="B22" s="144" t="s">
        <v>542</v>
      </c>
      <c r="D22" s="146" t="s">
        <v>542</v>
      </c>
      <c r="E22" s="145" t="n">
        <v>300</v>
      </c>
      <c r="F22" s="145" t="n">
        <v>1100</v>
      </c>
      <c r="G22" s="146" t="s">
        <v>295</v>
      </c>
    </row>
    <row r="23" customFormat="false" ht="15.75" hidden="false" customHeight="true" outlineLevel="0" collapsed="false">
      <c r="A23" s="144" t="s">
        <v>543</v>
      </c>
      <c r="B23" s="144" t="s">
        <v>544</v>
      </c>
      <c r="D23" s="146" t="s">
        <v>544</v>
      </c>
      <c r="E23" s="145" t="n">
        <v>50</v>
      </c>
      <c r="F23" s="145" t="n">
        <v>200</v>
      </c>
      <c r="G23" s="146" t="s">
        <v>295</v>
      </c>
    </row>
    <row r="24" customFormat="false" ht="15.75" hidden="false" customHeight="true" outlineLevel="0" collapsed="false">
      <c r="A24" s="144" t="s">
        <v>545</v>
      </c>
      <c r="B24" s="144" t="s">
        <v>546</v>
      </c>
      <c r="D24" s="146" t="s">
        <v>546</v>
      </c>
      <c r="E24" s="145" t="n">
        <v>680</v>
      </c>
      <c r="F24" s="145" t="n">
        <v>680</v>
      </c>
      <c r="G24" s="146" t="s">
        <v>295</v>
      </c>
    </row>
    <row r="25" customFormat="false" ht="15.75" hidden="false" customHeight="true" outlineLevel="0" collapsed="false">
      <c r="A25" s="144" t="s">
        <v>547</v>
      </c>
      <c r="B25" s="144" t="s">
        <v>548</v>
      </c>
      <c r="D25" s="146" t="s">
        <v>548</v>
      </c>
      <c r="E25" s="145" t="n">
        <v>340</v>
      </c>
      <c r="F25" s="145" t="n">
        <v>680</v>
      </c>
      <c r="G25" s="146" t="s">
        <v>295</v>
      </c>
    </row>
    <row r="26" customFormat="false" ht="15.75" hidden="false" customHeight="true" outlineLevel="0" collapsed="false">
      <c r="A26" s="144" t="s">
        <v>549</v>
      </c>
      <c r="B26" s="144" t="s">
        <v>550</v>
      </c>
      <c r="D26" s="146" t="s">
        <v>550</v>
      </c>
      <c r="E26" s="145" t="n">
        <v>500</v>
      </c>
      <c r="F26" s="145" t="n">
        <v>500</v>
      </c>
      <c r="G26" s="146" t="s">
        <v>295</v>
      </c>
    </row>
    <row r="27" customFormat="false" ht="15.75" hidden="false" customHeight="true" outlineLevel="0" collapsed="false">
      <c r="A27" s="144" t="s">
        <v>551</v>
      </c>
      <c r="B27" s="144" t="s">
        <v>552</v>
      </c>
      <c r="D27" s="146" t="s">
        <v>552</v>
      </c>
      <c r="E27" s="145" t="n">
        <v>100</v>
      </c>
      <c r="F27" s="145" t="n">
        <v>250</v>
      </c>
      <c r="G27" s="146" t="s">
        <v>295</v>
      </c>
    </row>
    <row r="28" customFormat="false" ht="15.75" hidden="false" customHeight="true" outlineLevel="0" collapsed="false">
      <c r="A28" s="144" t="s">
        <v>553</v>
      </c>
      <c r="B28" s="144" t="s">
        <v>554</v>
      </c>
      <c r="D28" s="146" t="s">
        <v>554</v>
      </c>
      <c r="E28" s="145" t="n">
        <v>500</v>
      </c>
      <c r="F28" s="145" t="n">
        <v>1000</v>
      </c>
      <c r="G28" s="146" t="s">
        <v>295</v>
      </c>
    </row>
    <row r="29" customFormat="false" ht="15.75" hidden="false" customHeight="true" outlineLevel="0" collapsed="false">
      <c r="A29" s="144" t="s">
        <v>555</v>
      </c>
      <c r="B29" s="144" t="s">
        <v>522</v>
      </c>
      <c r="D29" s="146" t="s">
        <v>522</v>
      </c>
      <c r="E29" s="145" t="n">
        <v>500</v>
      </c>
      <c r="F29" s="145" t="n">
        <v>1500</v>
      </c>
      <c r="G29" s="146" t="s">
        <v>295</v>
      </c>
    </row>
    <row r="30" customFormat="false" ht="15.75" hidden="false" customHeight="true" outlineLevel="0" collapsed="false">
      <c r="A30" s="144" t="s">
        <v>556</v>
      </c>
      <c r="B30" s="144" t="s">
        <v>557</v>
      </c>
      <c r="D30" s="146" t="s">
        <v>557</v>
      </c>
      <c r="E30" s="145" t="n">
        <v>300</v>
      </c>
      <c r="F30" s="145" t="n">
        <v>400</v>
      </c>
      <c r="G30" s="146" t="s">
        <v>295</v>
      </c>
    </row>
    <row r="31" customFormat="false" ht="15.75" hidden="false" customHeight="true" outlineLevel="0" collapsed="false">
      <c r="A31" s="144" t="s">
        <v>558</v>
      </c>
      <c r="B31" s="144" t="s">
        <v>559</v>
      </c>
      <c r="D31" s="146" t="s">
        <v>559</v>
      </c>
      <c r="E31" s="145" t="n">
        <v>400</v>
      </c>
      <c r="F31" s="145" t="n">
        <v>500</v>
      </c>
      <c r="G31" s="146" t="s">
        <v>295</v>
      </c>
    </row>
    <row r="32" customFormat="false" ht="15.75" hidden="false" customHeight="true" outlineLevel="0" collapsed="false">
      <c r="A32" s="144" t="s">
        <v>560</v>
      </c>
      <c r="B32" s="144" t="s">
        <v>550</v>
      </c>
      <c r="D32" s="146" t="s">
        <v>550</v>
      </c>
      <c r="E32" s="145" t="n">
        <v>500</v>
      </c>
      <c r="F32" s="145" t="n">
        <v>500</v>
      </c>
      <c r="G32" s="146" t="s">
        <v>295</v>
      </c>
    </row>
    <row r="33" customFormat="false" ht="15.75" hidden="false" customHeight="true" outlineLevel="0" collapsed="false">
      <c r="A33" s="144" t="s">
        <v>561</v>
      </c>
      <c r="B33" s="144" t="s">
        <v>540</v>
      </c>
      <c r="D33" s="146" t="s">
        <v>540</v>
      </c>
      <c r="E33" s="145" t="n">
        <v>2000</v>
      </c>
      <c r="F33" s="145" t="n">
        <v>3000</v>
      </c>
      <c r="G33" s="146" t="s">
        <v>295</v>
      </c>
    </row>
    <row r="34" customFormat="false" ht="15.75" hidden="false" customHeight="true" outlineLevel="0" collapsed="false">
      <c r="A34" s="144" t="s">
        <v>562</v>
      </c>
      <c r="B34" s="144" t="s">
        <v>563</v>
      </c>
      <c r="D34" s="146" t="s">
        <v>563</v>
      </c>
      <c r="E34" s="145" t="n">
        <v>100</v>
      </c>
      <c r="F34" s="145" t="n">
        <v>200</v>
      </c>
      <c r="G34" s="146" t="s">
        <v>295</v>
      </c>
    </row>
    <row r="35" customFormat="false" ht="15.75" hidden="false" customHeight="true" outlineLevel="0" collapsed="false">
      <c r="A35" s="144" t="s">
        <v>564</v>
      </c>
      <c r="B35" s="144" t="s">
        <v>565</v>
      </c>
      <c r="D35" s="146" t="s">
        <v>565</v>
      </c>
      <c r="E35" s="145" t="n">
        <v>3500</v>
      </c>
      <c r="F35" s="145" t="n">
        <v>6000</v>
      </c>
      <c r="G35" s="146" t="s">
        <v>295</v>
      </c>
    </row>
    <row r="36" customFormat="false" ht="15.75" hidden="false" customHeight="true" outlineLevel="0" collapsed="false">
      <c r="A36" s="144" t="s">
        <v>566</v>
      </c>
      <c r="B36" s="144" t="s">
        <v>567</v>
      </c>
      <c r="D36" s="146" t="s">
        <v>567</v>
      </c>
      <c r="E36" s="145" t="n">
        <v>500</v>
      </c>
      <c r="F36" s="145" t="n">
        <v>2000</v>
      </c>
      <c r="G36" s="146" t="s">
        <v>295</v>
      </c>
    </row>
    <row r="37" customFormat="false" ht="15.75" hidden="false" customHeight="true" outlineLevel="0" collapsed="false">
      <c r="A37" s="144" t="s">
        <v>568</v>
      </c>
      <c r="B37" s="144" t="s">
        <v>526</v>
      </c>
      <c r="D37" s="146" t="s">
        <v>526</v>
      </c>
      <c r="E37" s="145" t="n">
        <v>300</v>
      </c>
      <c r="F37" s="145" t="n">
        <v>2000</v>
      </c>
      <c r="G37" s="146" t="s">
        <v>295</v>
      </c>
    </row>
    <row r="38" customFormat="false" ht="15.75" hidden="false" customHeight="true" outlineLevel="0" collapsed="false">
      <c r="A38" s="144" t="s">
        <v>569</v>
      </c>
      <c r="B38" s="144" t="s">
        <v>570</v>
      </c>
      <c r="D38" s="146" t="s">
        <v>570</v>
      </c>
      <c r="E38" s="145" t="n">
        <v>1000</v>
      </c>
      <c r="F38" s="145" t="n">
        <v>1000</v>
      </c>
      <c r="G38" s="146" t="s">
        <v>295</v>
      </c>
    </row>
    <row r="39" customFormat="false" ht="15.75" hidden="false" customHeight="true" outlineLevel="0" collapsed="false">
      <c r="A39" s="144" t="s">
        <v>571</v>
      </c>
      <c r="B39" s="144" t="s">
        <v>572</v>
      </c>
      <c r="D39" s="146" t="s">
        <v>572</v>
      </c>
      <c r="E39" s="145" t="n">
        <v>400</v>
      </c>
      <c r="F39" s="145" t="n">
        <v>400</v>
      </c>
      <c r="G39" s="146" t="s">
        <v>295</v>
      </c>
    </row>
    <row r="40" customFormat="false" ht="15.75" hidden="false" customHeight="true" outlineLevel="0" collapsed="false">
      <c r="A40" s="144" t="s">
        <v>573</v>
      </c>
      <c r="B40" s="144" t="s">
        <v>574</v>
      </c>
      <c r="D40" s="146" t="s">
        <v>574</v>
      </c>
      <c r="E40" s="145" t="n">
        <v>500</v>
      </c>
      <c r="F40" s="145" t="n">
        <v>800</v>
      </c>
      <c r="G40" s="146" t="s">
        <v>295</v>
      </c>
    </row>
    <row r="41" customFormat="false" ht="15.75" hidden="false" customHeight="true" outlineLevel="0" collapsed="false">
      <c r="A41" s="144" t="s">
        <v>575</v>
      </c>
      <c r="B41" s="144" t="s">
        <v>576</v>
      </c>
      <c r="D41" s="146" t="s">
        <v>576</v>
      </c>
      <c r="E41" s="145" t="n">
        <v>700</v>
      </c>
      <c r="F41" s="145" t="n">
        <v>2000</v>
      </c>
      <c r="G41" s="146" t="s">
        <v>295</v>
      </c>
    </row>
    <row r="42" customFormat="false" ht="15.75" hidden="false" customHeight="true" outlineLevel="0" collapsed="false">
      <c r="A42" s="144" t="s">
        <v>577</v>
      </c>
      <c r="B42" s="144" t="s">
        <v>578</v>
      </c>
      <c r="D42" s="146" t="s">
        <v>578</v>
      </c>
      <c r="E42" s="145" t="n">
        <v>6000</v>
      </c>
      <c r="F42" s="145" t="n">
        <v>8000</v>
      </c>
      <c r="G42" s="146" t="s">
        <v>295</v>
      </c>
    </row>
    <row r="43" customFormat="false" ht="15.75" hidden="false" customHeight="true" outlineLevel="0" collapsed="false">
      <c r="A43" s="144" t="s">
        <v>579</v>
      </c>
      <c r="B43" s="144" t="s">
        <v>542</v>
      </c>
      <c r="D43" s="146" t="s">
        <v>542</v>
      </c>
      <c r="E43" s="145" t="n">
        <v>300</v>
      </c>
      <c r="F43" s="145" t="n">
        <v>1100</v>
      </c>
      <c r="G43" s="146" t="s">
        <v>295</v>
      </c>
    </row>
    <row r="44" customFormat="false" ht="15.75" hidden="false" customHeight="true" outlineLevel="0" collapsed="false">
      <c r="A44" s="144" t="s">
        <v>580</v>
      </c>
      <c r="B44" s="144" t="s">
        <v>581</v>
      </c>
      <c r="D44" s="146" t="s">
        <v>581</v>
      </c>
      <c r="E44" s="145" t="n">
        <v>800</v>
      </c>
      <c r="F44" s="145" t="n">
        <v>1500</v>
      </c>
      <c r="G44" s="146" t="s">
        <v>295</v>
      </c>
    </row>
    <row r="45" customFormat="false" ht="15.75" hidden="false" customHeight="true" outlineLevel="0" collapsed="false">
      <c r="A45" s="144" t="s">
        <v>582</v>
      </c>
      <c r="B45" s="144" t="s">
        <v>583</v>
      </c>
      <c r="D45" s="146" t="s">
        <v>583</v>
      </c>
      <c r="E45" s="145" t="n">
        <v>500</v>
      </c>
      <c r="F45" s="145" t="n">
        <v>700</v>
      </c>
      <c r="G45" s="146" t="s">
        <v>295</v>
      </c>
    </row>
    <row r="46" customFormat="false" ht="15.75" hidden="false" customHeight="true" outlineLevel="0" collapsed="false">
      <c r="A46" s="144" t="s">
        <v>584</v>
      </c>
      <c r="B46" s="144" t="s">
        <v>585</v>
      </c>
      <c r="D46" s="146" t="s">
        <v>585</v>
      </c>
      <c r="E46" s="145" t="n">
        <v>80</v>
      </c>
      <c r="F46" s="145" t="n">
        <v>120</v>
      </c>
      <c r="G46" s="146" t="s">
        <v>295</v>
      </c>
    </row>
    <row r="47" customFormat="false" ht="15.75" hidden="false" customHeight="true" outlineLevel="0" collapsed="false">
      <c r="A47" s="144" t="s">
        <v>586</v>
      </c>
      <c r="B47" s="144" t="s">
        <v>522</v>
      </c>
      <c r="D47" s="146" t="s">
        <v>522</v>
      </c>
      <c r="E47" s="145" t="n">
        <v>500</v>
      </c>
      <c r="F47" s="145" t="n">
        <v>1500</v>
      </c>
      <c r="G47" s="146" t="s">
        <v>295</v>
      </c>
    </row>
    <row r="48" customFormat="false" ht="15.75" hidden="false" customHeight="true" outlineLevel="0" collapsed="false">
      <c r="A48" s="144" t="s">
        <v>587</v>
      </c>
      <c r="B48" s="144" t="s">
        <v>588</v>
      </c>
      <c r="D48" s="146" t="s">
        <v>588</v>
      </c>
      <c r="E48" s="145" t="n">
        <v>816</v>
      </c>
      <c r="F48" s="145" t="n">
        <v>816</v>
      </c>
      <c r="G48" s="146" t="s">
        <v>295</v>
      </c>
    </row>
    <row r="49" customFormat="false" ht="15.75" hidden="false" customHeight="true" outlineLevel="0" collapsed="false">
      <c r="A49" s="144" t="s">
        <v>589</v>
      </c>
      <c r="B49" s="144" t="s">
        <v>524</v>
      </c>
      <c r="D49" s="146" t="s">
        <v>524</v>
      </c>
      <c r="E49" s="145" t="n">
        <v>150</v>
      </c>
      <c r="F49" s="145" t="n">
        <v>400</v>
      </c>
      <c r="G49" s="146" t="s">
        <v>295</v>
      </c>
    </row>
    <row r="50" customFormat="false" ht="15.75" hidden="false" customHeight="true" outlineLevel="0" collapsed="false">
      <c r="A50" s="144" t="s">
        <v>590</v>
      </c>
      <c r="B50" s="144" t="s">
        <v>574</v>
      </c>
      <c r="D50" s="146" t="s">
        <v>574</v>
      </c>
      <c r="E50" s="145" t="n">
        <v>500</v>
      </c>
      <c r="F50" s="145" t="n">
        <v>800</v>
      </c>
      <c r="G50" s="146" t="s">
        <v>295</v>
      </c>
    </row>
    <row r="51" customFormat="false" ht="15.75" hidden="false" customHeight="true" outlineLevel="0" collapsed="false">
      <c r="A51" s="144" t="s">
        <v>591</v>
      </c>
      <c r="B51" s="144" t="s">
        <v>592</v>
      </c>
      <c r="D51" s="146" t="s">
        <v>592</v>
      </c>
      <c r="E51" s="145" t="n">
        <v>3000</v>
      </c>
      <c r="F51" s="145" t="n">
        <v>5000</v>
      </c>
      <c r="G51" s="146" t="s">
        <v>295</v>
      </c>
    </row>
    <row r="52" customFormat="false" ht="15.75" hidden="false" customHeight="true" outlineLevel="0" collapsed="false">
      <c r="A52" s="144" t="s">
        <v>593</v>
      </c>
      <c r="B52" s="144" t="s">
        <v>594</v>
      </c>
      <c r="D52" s="146" t="s">
        <v>594</v>
      </c>
      <c r="E52" s="145" t="n">
        <v>2000</v>
      </c>
      <c r="F52" s="145" t="n">
        <v>5000</v>
      </c>
      <c r="G52" s="146" t="s">
        <v>295</v>
      </c>
    </row>
    <row r="53" customFormat="false" ht="15.75" hidden="false" customHeight="true" outlineLevel="0" collapsed="false">
      <c r="A53" s="144" t="s">
        <v>595</v>
      </c>
      <c r="B53" s="144" t="s">
        <v>596</v>
      </c>
      <c r="D53" s="146" t="s">
        <v>596</v>
      </c>
      <c r="E53" s="145" t="n">
        <v>227</v>
      </c>
      <c r="F53" s="145" t="n">
        <v>227</v>
      </c>
      <c r="G53" s="146" t="s">
        <v>295</v>
      </c>
    </row>
    <row r="54" customFormat="false" ht="15.75" hidden="false" customHeight="true" outlineLevel="0" collapsed="false">
      <c r="A54" s="144" t="s">
        <v>597</v>
      </c>
      <c r="B54" s="144"/>
      <c r="C54" s="144" t="s">
        <v>598</v>
      </c>
      <c r="D54" s="146" t="s">
        <v>598</v>
      </c>
      <c r="E54" s="145" t="n">
        <v>38</v>
      </c>
      <c r="F54" s="145" t="n">
        <v>97</v>
      </c>
      <c r="G54" s="146" t="s">
        <v>236</v>
      </c>
    </row>
    <row r="55" customFormat="false" ht="15.75" hidden="false" customHeight="true" outlineLevel="0" collapsed="false">
      <c r="A55" s="144" t="s">
        <v>599</v>
      </c>
      <c r="B55" s="144"/>
      <c r="C55" s="144" t="s">
        <v>598</v>
      </c>
      <c r="D55" s="146" t="s">
        <v>598</v>
      </c>
      <c r="E55" s="145" t="n">
        <v>38</v>
      </c>
      <c r="F55" s="145" t="n">
        <v>97</v>
      </c>
      <c r="G55" s="146" t="s">
        <v>236</v>
      </c>
    </row>
    <row r="56" customFormat="false" ht="15.75" hidden="false" customHeight="true" outlineLevel="0" collapsed="false">
      <c r="A56" s="144" t="s">
        <v>600</v>
      </c>
      <c r="B56" s="233" t="s">
        <v>601</v>
      </c>
      <c r="C56" s="144"/>
      <c r="D56" s="146" t="s">
        <v>601</v>
      </c>
      <c r="E56" s="145" t="n">
        <v>10</v>
      </c>
      <c r="F56" s="145" t="n">
        <v>29</v>
      </c>
      <c r="G56" s="146" t="s">
        <v>236</v>
      </c>
    </row>
    <row r="57" customFormat="false" ht="15.75" hidden="false" customHeight="true" outlineLevel="0" collapsed="false">
      <c r="A57" s="144" t="s">
        <v>602</v>
      </c>
      <c r="B57" s="144" t="s">
        <v>603</v>
      </c>
      <c r="C57" s="144"/>
      <c r="D57" s="146" t="s">
        <v>603</v>
      </c>
      <c r="E57" s="145" t="n">
        <v>227</v>
      </c>
      <c r="F57" s="145" t="n">
        <v>1000</v>
      </c>
      <c r="G57" s="146" t="s">
        <v>236</v>
      </c>
    </row>
    <row r="58" customFormat="false" ht="15.75" hidden="false" customHeight="true" outlineLevel="0" collapsed="false">
      <c r="A58" s="144" t="s">
        <v>604</v>
      </c>
      <c r="B58" s="144" t="s">
        <v>605</v>
      </c>
      <c r="C58" s="144"/>
      <c r="D58" s="146" t="s">
        <v>605</v>
      </c>
      <c r="E58" s="145" t="n">
        <v>2000</v>
      </c>
      <c r="F58" s="145" t="n">
        <v>10000</v>
      </c>
      <c r="G58" s="146" t="s">
        <v>236</v>
      </c>
    </row>
    <row r="59" customFormat="false" ht="15.75" hidden="false" customHeight="true" outlineLevel="0" collapsed="false">
      <c r="A59" s="144" t="s">
        <v>606</v>
      </c>
      <c r="B59" s="144" t="s">
        <v>607</v>
      </c>
      <c r="C59" s="144"/>
      <c r="D59" s="146" t="s">
        <v>607</v>
      </c>
      <c r="E59" s="145" t="n">
        <v>100</v>
      </c>
      <c r="F59" s="145" t="n">
        <v>600</v>
      </c>
      <c r="G59" s="146" t="s">
        <v>236</v>
      </c>
    </row>
    <row r="60" customFormat="false" ht="15.75" hidden="false" customHeight="true" outlineLevel="0" collapsed="false">
      <c r="A60" s="144" t="s">
        <v>608</v>
      </c>
      <c r="B60" s="144" t="s">
        <v>609</v>
      </c>
      <c r="C60" s="144"/>
      <c r="D60" s="146" t="s">
        <v>609</v>
      </c>
      <c r="E60" s="145" t="n">
        <v>100</v>
      </c>
      <c r="F60" s="145" t="n">
        <v>750</v>
      </c>
      <c r="G60" s="146" t="s">
        <v>236</v>
      </c>
    </row>
    <row r="61" customFormat="false" ht="15.75" hidden="false" customHeight="true" outlineLevel="0" collapsed="false">
      <c r="A61" s="144" t="s">
        <v>610</v>
      </c>
      <c r="B61" s="144" t="s">
        <v>611</v>
      </c>
      <c r="C61" s="144"/>
      <c r="D61" s="146" t="s">
        <v>611</v>
      </c>
      <c r="E61" s="145" t="n">
        <v>32</v>
      </c>
      <c r="F61" s="145" t="n">
        <v>713</v>
      </c>
      <c r="G61" s="146" t="s">
        <v>236</v>
      </c>
    </row>
    <row r="62" customFormat="false" ht="15.75" hidden="false" customHeight="true" outlineLevel="0" collapsed="false">
      <c r="A62" s="144" t="s">
        <v>612</v>
      </c>
      <c r="B62" s="144" t="s">
        <v>613</v>
      </c>
      <c r="C62" s="144"/>
      <c r="D62" s="146" t="s">
        <v>613</v>
      </c>
      <c r="E62" s="145" t="n">
        <v>20</v>
      </c>
      <c r="F62" s="145" t="n">
        <v>22</v>
      </c>
      <c r="G62" s="146" t="s">
        <v>236</v>
      </c>
    </row>
    <row r="63" customFormat="false" ht="15.75" hidden="false" customHeight="true" outlineLevel="0" collapsed="false">
      <c r="A63" s="144" t="s">
        <v>614</v>
      </c>
      <c r="B63" s="144" t="s">
        <v>615</v>
      </c>
      <c r="C63" s="144"/>
      <c r="D63" s="146" t="s">
        <v>615</v>
      </c>
      <c r="E63" s="145" t="n">
        <v>5000</v>
      </c>
      <c r="F63" s="145" t="n">
        <v>20000</v>
      </c>
      <c r="G63" s="146" t="s">
        <v>236</v>
      </c>
    </row>
    <row r="64" customFormat="false" ht="15.75" hidden="false" customHeight="true" outlineLevel="0" collapsed="false">
      <c r="A64" s="144" t="s">
        <v>616</v>
      </c>
      <c r="B64" s="144" t="s">
        <v>617</v>
      </c>
      <c r="C64" s="144"/>
      <c r="D64" s="146" t="s">
        <v>617</v>
      </c>
      <c r="E64" s="145" t="n">
        <v>63</v>
      </c>
      <c r="F64" s="145" t="n">
        <v>231</v>
      </c>
      <c r="G64" s="146" t="s">
        <v>236</v>
      </c>
    </row>
    <row r="65" customFormat="false" ht="15.75" hidden="false" customHeight="true" outlineLevel="0" collapsed="false">
      <c r="A65" s="144" t="s">
        <v>618</v>
      </c>
      <c r="B65" s="144" t="s">
        <v>619</v>
      </c>
      <c r="C65" s="144"/>
      <c r="D65" s="146" t="s">
        <v>619</v>
      </c>
      <c r="E65" s="145" t="n">
        <v>69</v>
      </c>
      <c r="F65" s="145" t="n">
        <v>127</v>
      </c>
      <c r="G65" s="146" t="s">
        <v>236</v>
      </c>
    </row>
    <row r="66" customFormat="false" ht="15.75" hidden="false" customHeight="true" outlineLevel="0" collapsed="false">
      <c r="A66" s="144" t="s">
        <v>593</v>
      </c>
      <c r="B66" s="144" t="s">
        <v>620</v>
      </c>
      <c r="C66" s="144"/>
      <c r="D66" s="146" t="s">
        <v>620</v>
      </c>
      <c r="E66" s="145" t="n">
        <v>800</v>
      </c>
      <c r="F66" s="145" t="n">
        <v>4000</v>
      </c>
      <c r="G66" s="146" t="s">
        <v>236</v>
      </c>
    </row>
    <row r="67" customFormat="false" ht="15.75" hidden="false" customHeight="true" outlineLevel="0" collapsed="false">
      <c r="A67" s="144" t="s">
        <v>621</v>
      </c>
      <c r="B67" s="144" t="s">
        <v>622</v>
      </c>
      <c r="C67" s="144"/>
      <c r="D67" s="146" t="s">
        <v>622</v>
      </c>
      <c r="E67" s="145" t="n">
        <v>7</v>
      </c>
      <c r="F67" s="145" t="n">
        <v>224</v>
      </c>
      <c r="G67" s="146" t="s">
        <v>236</v>
      </c>
    </row>
    <row r="68" customFormat="false" ht="15.75" hidden="false" customHeight="true" outlineLevel="0" collapsed="false">
      <c r="A68" s="144" t="s">
        <v>623</v>
      </c>
      <c r="B68" s="144" t="s">
        <v>624</v>
      </c>
      <c r="C68" s="144"/>
      <c r="D68" s="146" t="s">
        <v>624</v>
      </c>
      <c r="E68" s="145" t="n">
        <v>389</v>
      </c>
      <c r="F68" s="145" t="n">
        <v>454</v>
      </c>
      <c r="G68" s="146" t="s">
        <v>236</v>
      </c>
    </row>
    <row r="69" customFormat="false" ht="15.75" hidden="false" customHeight="true" outlineLevel="0" collapsed="false">
      <c r="A69" s="144" t="s">
        <v>625</v>
      </c>
      <c r="B69" s="144" t="s">
        <v>626</v>
      </c>
      <c r="C69" s="144"/>
      <c r="D69" s="146" t="s">
        <v>626</v>
      </c>
      <c r="E69" s="145" t="n">
        <v>135</v>
      </c>
      <c r="F69" s="145" t="n">
        <v>340</v>
      </c>
      <c r="G69" s="146" t="s">
        <v>236</v>
      </c>
    </row>
    <row r="70" customFormat="false" ht="15.75" hidden="false" customHeight="true" outlineLevel="0" collapsed="false">
      <c r="A70" s="144" t="s">
        <v>627</v>
      </c>
      <c r="B70" s="144" t="s">
        <v>628</v>
      </c>
      <c r="C70" s="144"/>
      <c r="D70" s="146" t="s">
        <v>628</v>
      </c>
      <c r="E70" s="145" t="n">
        <v>200</v>
      </c>
      <c r="F70" s="145" t="n">
        <v>1000</v>
      </c>
      <c r="G70" s="146" t="s">
        <v>236</v>
      </c>
    </row>
    <row r="71" customFormat="false" ht="15.75" hidden="false" customHeight="true" outlineLevel="0" collapsed="false">
      <c r="A71" s="144" t="s">
        <v>629</v>
      </c>
      <c r="B71" s="144"/>
      <c r="C71" s="144" t="s">
        <v>630</v>
      </c>
      <c r="D71" s="146" t="s">
        <v>630</v>
      </c>
      <c r="E71" s="145" t="n">
        <v>38</v>
      </c>
      <c r="F71" s="145" t="n">
        <v>96</v>
      </c>
      <c r="G71" s="146" t="s">
        <v>236</v>
      </c>
    </row>
    <row r="72" customFormat="false" ht="15.75" hidden="false" customHeight="true" outlineLevel="0" collapsed="false">
      <c r="A72" s="144" t="s">
        <v>631</v>
      </c>
      <c r="B72" s="144"/>
      <c r="C72" s="144" t="s">
        <v>630</v>
      </c>
      <c r="D72" s="146" t="s">
        <v>630</v>
      </c>
      <c r="E72" s="145" t="n">
        <v>38</v>
      </c>
      <c r="F72" s="145" t="n">
        <v>96</v>
      </c>
      <c r="G72" s="146" t="s">
        <v>236</v>
      </c>
    </row>
    <row r="73" customFormat="false" ht="15.75" hidden="false" customHeight="true" outlineLevel="0" collapsed="false">
      <c r="A73" s="144" t="s">
        <v>632</v>
      </c>
      <c r="B73" s="144" t="s">
        <v>633</v>
      </c>
      <c r="C73" s="144"/>
      <c r="D73" s="146" t="s">
        <v>633</v>
      </c>
      <c r="E73" s="145" t="n">
        <v>27</v>
      </c>
      <c r="F73" s="145" t="n">
        <v>34</v>
      </c>
      <c r="G73" s="146" t="s">
        <v>236</v>
      </c>
    </row>
    <row r="74" customFormat="false" ht="15.75" hidden="false" customHeight="true" outlineLevel="0" collapsed="false">
      <c r="A74" s="144" t="s">
        <v>634</v>
      </c>
      <c r="B74" s="144"/>
      <c r="C74" s="144" t="s">
        <v>630</v>
      </c>
      <c r="D74" s="146" t="s">
        <v>630</v>
      </c>
      <c r="E74" s="145" t="n">
        <v>38</v>
      </c>
      <c r="F74" s="145" t="n">
        <v>96</v>
      </c>
      <c r="G74" s="146" t="s">
        <v>236</v>
      </c>
    </row>
    <row r="75" customFormat="false" ht="15.75" hidden="false" customHeight="true" outlineLevel="0" collapsed="false">
      <c r="A75" s="144" t="s">
        <v>635</v>
      </c>
      <c r="B75" s="144" t="s">
        <v>636</v>
      </c>
      <c r="C75" s="144"/>
      <c r="D75" s="146" t="s">
        <v>636</v>
      </c>
      <c r="E75" s="145" t="n">
        <v>17</v>
      </c>
      <c r="F75" s="145" t="n">
        <v>17</v>
      </c>
      <c r="G75" s="146" t="s">
        <v>236</v>
      </c>
    </row>
    <row r="76" customFormat="false" ht="15.75" hidden="false" customHeight="true" outlineLevel="0" collapsed="false">
      <c r="A76" s="144" t="s">
        <v>637</v>
      </c>
      <c r="B76" s="144" t="s">
        <v>638</v>
      </c>
      <c r="C76" s="144"/>
      <c r="D76" s="146" t="s">
        <v>638</v>
      </c>
      <c r="E76" s="145" t="n">
        <v>17</v>
      </c>
      <c r="F76" s="145" t="n">
        <v>50</v>
      </c>
      <c r="G76" s="146" t="s">
        <v>236</v>
      </c>
    </row>
    <row r="77" customFormat="false" ht="15.75" hidden="false" customHeight="true" outlineLevel="0" collapsed="false">
      <c r="A77" s="144" t="s">
        <v>639</v>
      </c>
      <c r="B77" s="144"/>
      <c r="C77" s="144" t="s">
        <v>630</v>
      </c>
      <c r="D77" s="146" t="s">
        <v>630</v>
      </c>
      <c r="E77" s="145" t="n">
        <v>38</v>
      </c>
      <c r="F77" s="145" t="n">
        <v>96</v>
      </c>
      <c r="G77" s="146" t="s">
        <v>236</v>
      </c>
    </row>
    <row r="78" customFormat="false" ht="15.75" hidden="false" customHeight="true" outlineLevel="0" collapsed="false">
      <c r="A78" s="144" t="s">
        <v>640</v>
      </c>
      <c r="B78" s="144" t="s">
        <v>641</v>
      </c>
      <c r="C78" s="144"/>
      <c r="D78" s="146" t="s">
        <v>641</v>
      </c>
      <c r="E78" s="145" t="n">
        <v>87</v>
      </c>
      <c r="F78" s="145" t="n">
        <v>132</v>
      </c>
      <c r="G78" s="146" t="s">
        <v>236</v>
      </c>
    </row>
    <row r="79" customFormat="false" ht="15.75" hidden="false" customHeight="true" outlineLevel="0" collapsed="false">
      <c r="A79" s="144" t="s">
        <v>642</v>
      </c>
      <c r="B79" s="144" t="s">
        <v>643</v>
      </c>
      <c r="C79" s="144"/>
      <c r="D79" s="146" t="s">
        <v>643</v>
      </c>
      <c r="E79" s="145" t="n">
        <v>234</v>
      </c>
      <c r="F79" s="145" t="n">
        <v>234</v>
      </c>
      <c r="G79" s="146" t="s">
        <v>236</v>
      </c>
    </row>
    <row r="80" customFormat="false" ht="15.75" hidden="false" customHeight="true" outlineLevel="0" collapsed="false">
      <c r="A80" s="144" t="s">
        <v>644</v>
      </c>
      <c r="B80" s="144" t="s">
        <v>645</v>
      </c>
      <c r="C80" s="144"/>
      <c r="D80" s="146" t="s">
        <v>645</v>
      </c>
      <c r="E80" s="145" t="n">
        <v>11</v>
      </c>
      <c r="F80" s="145" t="n">
        <v>1000</v>
      </c>
      <c r="G80" s="146" t="s">
        <v>236</v>
      </c>
    </row>
    <row r="81" customFormat="false" ht="15.75" hidden="false" customHeight="true" outlineLevel="0" collapsed="false">
      <c r="A81" s="144" t="s">
        <v>646</v>
      </c>
      <c r="B81" s="144" t="s">
        <v>647</v>
      </c>
      <c r="C81" s="144"/>
      <c r="D81" s="146" t="s">
        <v>647</v>
      </c>
      <c r="E81" s="145" t="n">
        <v>8</v>
      </c>
      <c r="F81" s="145" t="n">
        <v>38</v>
      </c>
      <c r="G81" s="146" t="s">
        <v>236</v>
      </c>
    </row>
    <row r="82" customFormat="false" ht="15.75" hidden="false" customHeight="true" outlineLevel="0" collapsed="false">
      <c r="A82" s="144" t="s">
        <v>648</v>
      </c>
      <c r="B82" s="144" t="s">
        <v>649</v>
      </c>
      <c r="C82" s="144"/>
      <c r="D82" s="146" t="s">
        <v>649</v>
      </c>
      <c r="E82" s="145" t="n">
        <v>83</v>
      </c>
      <c r="F82" s="145" t="n">
        <v>83</v>
      </c>
      <c r="G82" s="146" t="s">
        <v>236</v>
      </c>
    </row>
    <row r="83" customFormat="false" ht="15.75" hidden="false" customHeight="true" outlineLevel="0" collapsed="false">
      <c r="A83" s="144" t="s">
        <v>650</v>
      </c>
      <c r="B83" s="144"/>
      <c r="C83" s="144" t="s">
        <v>630</v>
      </c>
      <c r="D83" s="146" t="s">
        <v>630</v>
      </c>
      <c r="E83" s="145" t="n">
        <v>38</v>
      </c>
      <c r="F83" s="145" t="n">
        <v>96</v>
      </c>
      <c r="G83" s="146" t="s">
        <v>236</v>
      </c>
    </row>
    <row r="84" customFormat="false" ht="15.75" hidden="false" customHeight="true" outlineLevel="0" collapsed="false">
      <c r="A84" s="144" t="s">
        <v>651</v>
      </c>
      <c r="B84" s="144" t="s">
        <v>652</v>
      </c>
      <c r="C84" s="144"/>
      <c r="D84" s="146" t="s">
        <v>652</v>
      </c>
      <c r="E84" s="145" t="n">
        <v>1364</v>
      </c>
      <c r="F84" s="145" t="n">
        <v>2273</v>
      </c>
      <c r="G84" s="146" t="s">
        <v>236</v>
      </c>
    </row>
    <row r="85" customFormat="false" ht="15.75" hidden="false" customHeight="true" outlineLevel="0" collapsed="false">
      <c r="A85" s="144" t="s">
        <v>653</v>
      </c>
      <c r="B85" s="144" t="s">
        <v>654</v>
      </c>
      <c r="C85" s="144"/>
      <c r="D85" s="146" t="s">
        <v>654</v>
      </c>
      <c r="E85" s="145" t="n">
        <v>120</v>
      </c>
      <c r="F85" s="145" t="n">
        <v>183</v>
      </c>
      <c r="G85" s="146" t="s">
        <v>236</v>
      </c>
    </row>
    <row r="86" customFormat="false" ht="15.75" hidden="false" customHeight="true" outlineLevel="0" collapsed="false">
      <c r="A86" s="144" t="s">
        <v>655</v>
      </c>
      <c r="B86" s="144" t="s">
        <v>656</v>
      </c>
      <c r="C86" s="144"/>
      <c r="D86" s="146" t="s">
        <v>656</v>
      </c>
      <c r="E86" s="145" t="n">
        <v>2273</v>
      </c>
      <c r="F86" s="145" t="n">
        <v>4545</v>
      </c>
      <c r="G86" s="146" t="s">
        <v>236</v>
      </c>
    </row>
    <row r="87" customFormat="false" ht="15.75" hidden="false" customHeight="true" outlineLevel="0" collapsed="false">
      <c r="A87" s="144" t="s">
        <v>657</v>
      </c>
      <c r="B87" s="144"/>
      <c r="C87" s="144" t="s">
        <v>630</v>
      </c>
      <c r="D87" s="146" t="s">
        <v>630</v>
      </c>
      <c r="E87" s="145" t="n">
        <v>38</v>
      </c>
      <c r="F87" s="145" t="n">
        <v>96</v>
      </c>
      <c r="G87" s="146" t="s">
        <v>236</v>
      </c>
    </row>
    <row r="88" customFormat="false" ht="15.75" hidden="false" customHeight="true" outlineLevel="0" collapsed="false">
      <c r="A88" s="144" t="s">
        <v>658</v>
      </c>
      <c r="B88" s="144" t="s">
        <v>659</v>
      </c>
      <c r="C88" s="144"/>
      <c r="D88" s="146" t="s">
        <v>659</v>
      </c>
      <c r="E88" s="145" t="n">
        <v>229</v>
      </c>
      <c r="F88" s="145" t="n">
        <v>499</v>
      </c>
      <c r="G88" s="146" t="s">
        <v>236</v>
      </c>
    </row>
    <row r="89" customFormat="false" ht="15.75" hidden="false" customHeight="true" outlineLevel="0" collapsed="false">
      <c r="A89" s="144" t="s">
        <v>660</v>
      </c>
      <c r="B89" s="144" t="s">
        <v>661</v>
      </c>
      <c r="C89" s="144"/>
      <c r="D89" s="146" t="s">
        <v>661</v>
      </c>
      <c r="E89" s="145" t="n">
        <v>15000</v>
      </c>
      <c r="F89" s="145" t="n">
        <v>20000</v>
      </c>
      <c r="G89" s="146" t="s">
        <v>236</v>
      </c>
    </row>
    <row r="90" customFormat="false" ht="15.75" hidden="false" customHeight="true" outlineLevel="0" collapsed="false">
      <c r="A90" s="144" t="s">
        <v>662</v>
      </c>
      <c r="B90" s="144" t="s">
        <v>663</v>
      </c>
      <c r="C90" s="144"/>
      <c r="D90" s="146" t="s">
        <v>663</v>
      </c>
      <c r="E90" s="145" t="n">
        <v>64</v>
      </c>
      <c r="F90" s="145" t="n">
        <v>400</v>
      </c>
      <c r="G90" s="146" t="s">
        <v>236</v>
      </c>
    </row>
    <row r="91" customFormat="false" ht="15.75" hidden="false" customHeight="true" outlineLevel="0" collapsed="false">
      <c r="A91" s="144" t="s">
        <v>664</v>
      </c>
      <c r="B91" s="144"/>
      <c r="C91" s="144" t="s">
        <v>630</v>
      </c>
      <c r="D91" s="146" t="s">
        <v>630</v>
      </c>
      <c r="E91" s="145" t="n">
        <v>38</v>
      </c>
      <c r="F91" s="145" t="n">
        <v>96</v>
      </c>
      <c r="G91" s="146" t="s">
        <v>236</v>
      </c>
    </row>
    <row r="92" customFormat="false" ht="15.75" hidden="false" customHeight="true" outlineLevel="0" collapsed="false">
      <c r="A92" s="144" t="s">
        <v>665</v>
      </c>
      <c r="B92" s="144" t="s">
        <v>666</v>
      </c>
      <c r="C92" s="144"/>
      <c r="D92" s="146" t="s">
        <v>666</v>
      </c>
      <c r="E92" s="145" t="n">
        <v>1400</v>
      </c>
      <c r="F92" s="145" t="n">
        <v>1400</v>
      </c>
      <c r="G92" s="146" t="s">
        <v>236</v>
      </c>
    </row>
    <row r="93" customFormat="false" ht="15.75" hidden="false" customHeight="true" outlineLevel="0" collapsed="false">
      <c r="A93" s="144" t="s">
        <v>667</v>
      </c>
      <c r="B93" s="144" t="s">
        <v>668</v>
      </c>
      <c r="C93" s="144"/>
      <c r="D93" s="146" t="s">
        <v>668</v>
      </c>
      <c r="E93" s="145" t="n">
        <v>54</v>
      </c>
      <c r="F93" s="145" t="n">
        <v>193</v>
      </c>
      <c r="G93" s="146" t="s">
        <v>236</v>
      </c>
    </row>
    <row r="94" customFormat="false" ht="15.75" hidden="false" customHeight="true" outlineLevel="0" collapsed="false">
      <c r="A94" s="144" t="s">
        <v>669</v>
      </c>
      <c r="B94" s="144" t="s">
        <v>670</v>
      </c>
      <c r="C94" s="144"/>
      <c r="D94" s="146" t="s">
        <v>670</v>
      </c>
      <c r="E94" s="145" t="n">
        <v>10689</v>
      </c>
      <c r="F94" s="145" t="n">
        <v>10689</v>
      </c>
      <c r="G94" s="146" t="s">
        <v>236</v>
      </c>
    </row>
    <row r="95" customFormat="false" ht="15.75" hidden="false" customHeight="true" outlineLevel="0" collapsed="false">
      <c r="A95" s="144" t="s">
        <v>671</v>
      </c>
      <c r="B95" s="144" t="s">
        <v>609</v>
      </c>
      <c r="C95" s="144"/>
      <c r="D95" s="146" t="s">
        <v>609</v>
      </c>
      <c r="E95" s="145" t="n">
        <v>100</v>
      </c>
      <c r="F95" s="145" t="n">
        <v>750</v>
      </c>
      <c r="G95" s="146" t="s">
        <v>236</v>
      </c>
    </row>
    <row r="96" customFormat="false" ht="15.75" hidden="false" customHeight="true" outlineLevel="0" collapsed="false">
      <c r="A96" s="144" t="s">
        <v>672</v>
      </c>
      <c r="B96" s="144" t="s">
        <v>673</v>
      </c>
      <c r="C96" s="144"/>
      <c r="D96" s="146" t="s">
        <v>673</v>
      </c>
      <c r="E96" s="145" t="n">
        <v>2200</v>
      </c>
      <c r="F96" s="145" t="n">
        <v>4500</v>
      </c>
      <c r="G96" s="146" t="s">
        <v>236</v>
      </c>
    </row>
    <row r="97" customFormat="false" ht="15.75" hidden="false" customHeight="true" outlineLevel="0" collapsed="false">
      <c r="A97" s="144" t="s">
        <v>674</v>
      </c>
      <c r="B97" s="144" t="s">
        <v>675</v>
      </c>
      <c r="C97" s="144"/>
      <c r="D97" s="146" t="s">
        <v>675</v>
      </c>
      <c r="E97" s="145" t="n">
        <v>900</v>
      </c>
      <c r="F97" s="145" t="n">
        <v>1800</v>
      </c>
      <c r="G97" s="146" t="s">
        <v>236</v>
      </c>
    </row>
    <row r="98" customFormat="false" ht="15.75" hidden="false" customHeight="true" outlineLevel="0" collapsed="false">
      <c r="A98" s="144" t="s">
        <v>676</v>
      </c>
      <c r="B98" s="144" t="s">
        <v>677</v>
      </c>
      <c r="C98" s="144"/>
      <c r="D98" s="146" t="s">
        <v>677</v>
      </c>
      <c r="E98" s="145" t="n">
        <v>455</v>
      </c>
      <c r="F98" s="145" t="n">
        <v>500</v>
      </c>
      <c r="G98" s="146" t="s">
        <v>236</v>
      </c>
    </row>
    <row r="99" customFormat="false" ht="15.75" hidden="false" customHeight="true" outlineLevel="0" collapsed="false">
      <c r="A99" s="144" t="s">
        <v>678</v>
      </c>
      <c r="B99" s="144" t="s">
        <v>679</v>
      </c>
      <c r="C99" s="144"/>
      <c r="D99" s="146" t="s">
        <v>679</v>
      </c>
      <c r="E99" s="145" t="n">
        <v>400</v>
      </c>
      <c r="F99" s="145" t="n">
        <v>600</v>
      </c>
      <c r="G99" s="146" t="s">
        <v>236</v>
      </c>
    </row>
    <row r="100" customFormat="false" ht="15.75" hidden="false" customHeight="true" outlineLevel="0" collapsed="false">
      <c r="A100" s="144" t="s">
        <v>680</v>
      </c>
      <c r="B100" s="144" t="s">
        <v>681</v>
      </c>
      <c r="C100" s="144"/>
      <c r="D100" s="146" t="s">
        <v>681</v>
      </c>
      <c r="E100" s="145" t="n">
        <v>237</v>
      </c>
      <c r="F100" s="145" t="n">
        <v>1034</v>
      </c>
      <c r="G100" s="146" t="s">
        <v>236</v>
      </c>
    </row>
    <row r="101" customFormat="false" ht="15.75" hidden="false" customHeight="true" outlineLevel="0" collapsed="false">
      <c r="A101" s="144" t="s">
        <v>682</v>
      </c>
      <c r="B101" s="144" t="s">
        <v>683</v>
      </c>
      <c r="C101" s="144"/>
      <c r="D101" s="146" t="s">
        <v>683</v>
      </c>
      <c r="E101" s="145" t="n">
        <v>5000</v>
      </c>
      <c r="F101" s="145" t="n">
        <v>5000</v>
      </c>
      <c r="G101" s="146" t="s">
        <v>236</v>
      </c>
    </row>
    <row r="102" customFormat="false" ht="15.75" hidden="false" customHeight="true" outlineLevel="0" collapsed="false">
      <c r="A102" s="144" t="s">
        <v>684</v>
      </c>
      <c r="B102" s="144" t="s">
        <v>685</v>
      </c>
      <c r="C102" s="144"/>
      <c r="D102" s="146" t="s">
        <v>685</v>
      </c>
      <c r="E102" s="145" t="n">
        <v>3182</v>
      </c>
      <c r="F102" s="145" t="n">
        <v>8182</v>
      </c>
      <c r="G102" s="146" t="s">
        <v>236</v>
      </c>
    </row>
    <row r="103" customFormat="false" ht="15.75" hidden="false" customHeight="true" outlineLevel="0" collapsed="false">
      <c r="A103" s="144" t="s">
        <v>686</v>
      </c>
      <c r="B103" s="144" t="s">
        <v>687</v>
      </c>
      <c r="C103" s="144"/>
      <c r="D103" s="146" t="s">
        <v>687</v>
      </c>
      <c r="E103" s="145" t="n">
        <v>100</v>
      </c>
      <c r="F103" s="145" t="n">
        <v>100</v>
      </c>
      <c r="G103" s="146" t="s">
        <v>236</v>
      </c>
    </row>
    <row r="104" customFormat="false" ht="15.75" hidden="false" customHeight="true" outlineLevel="0" collapsed="false">
      <c r="A104" s="144" t="s">
        <v>688</v>
      </c>
      <c r="B104" s="144"/>
      <c r="C104" s="144" t="s">
        <v>630</v>
      </c>
      <c r="D104" s="146" t="s">
        <v>630</v>
      </c>
      <c r="E104" s="145" t="n">
        <v>38</v>
      </c>
      <c r="F104" s="145" t="n">
        <v>96</v>
      </c>
      <c r="G104" s="146" t="s">
        <v>236</v>
      </c>
    </row>
    <row r="105" customFormat="false" ht="15.75" hidden="false" customHeight="true" outlineLevel="0" collapsed="false">
      <c r="A105" s="144" t="s">
        <v>689</v>
      </c>
      <c r="B105" s="144" t="s">
        <v>654</v>
      </c>
      <c r="C105" s="144"/>
      <c r="D105" s="146" t="s">
        <v>654</v>
      </c>
      <c r="E105" s="145" t="n">
        <v>120</v>
      </c>
      <c r="F105" s="145" t="n">
        <v>183</v>
      </c>
      <c r="G105" s="146" t="s">
        <v>236</v>
      </c>
    </row>
    <row r="106" customFormat="false" ht="15.75" hidden="false" customHeight="true" outlineLevel="0" collapsed="false">
      <c r="A106" s="144" t="s">
        <v>690</v>
      </c>
      <c r="B106" s="233" t="s">
        <v>691</v>
      </c>
      <c r="C106" s="144"/>
      <c r="D106" s="146" t="s">
        <v>691</v>
      </c>
      <c r="E106" s="145" t="n">
        <v>3</v>
      </c>
      <c r="F106" s="145" t="n">
        <v>22</v>
      </c>
      <c r="G106" s="146" t="s">
        <v>236</v>
      </c>
    </row>
    <row r="107" customFormat="false" ht="15.75" hidden="false" customHeight="true" outlineLevel="0" collapsed="false">
      <c r="A107" s="144" t="s">
        <v>692</v>
      </c>
      <c r="B107" s="144"/>
      <c r="C107" s="144" t="s">
        <v>630</v>
      </c>
      <c r="D107" s="146" t="s">
        <v>630</v>
      </c>
      <c r="E107" s="145" t="n">
        <v>38</v>
      </c>
      <c r="F107" s="145" t="n">
        <v>96</v>
      </c>
      <c r="G107" s="146" t="s">
        <v>236</v>
      </c>
    </row>
    <row r="108" customFormat="false" ht="15.75" hidden="false" customHeight="true" outlineLevel="0" collapsed="false">
      <c r="A108" s="144" t="s">
        <v>693</v>
      </c>
      <c r="B108" s="144" t="s">
        <v>694</v>
      </c>
      <c r="C108" s="144"/>
      <c r="D108" s="146" t="s">
        <v>694</v>
      </c>
      <c r="E108" s="145" t="n">
        <v>291</v>
      </c>
      <c r="F108" s="145" t="n">
        <v>291</v>
      </c>
      <c r="G108" s="146" t="s">
        <v>236</v>
      </c>
    </row>
    <row r="109" customFormat="false" ht="15.75" hidden="false" customHeight="true" outlineLevel="0" collapsed="false">
      <c r="A109" s="144" t="s">
        <v>695</v>
      </c>
      <c r="B109" s="233" t="s">
        <v>696</v>
      </c>
      <c r="C109" s="144"/>
      <c r="D109" s="146" t="s">
        <v>696</v>
      </c>
      <c r="E109" s="145" t="n">
        <v>10</v>
      </c>
      <c r="F109" s="145" t="n">
        <v>10</v>
      </c>
      <c r="G109" s="146" t="s">
        <v>236</v>
      </c>
    </row>
    <row r="110" customFormat="false" ht="15.75" hidden="false" customHeight="true" outlineLevel="0" collapsed="false">
      <c r="A110" s="144" t="s">
        <v>697</v>
      </c>
      <c r="B110" s="144" t="s">
        <v>698</v>
      </c>
      <c r="C110" s="144"/>
      <c r="D110" s="146" t="s">
        <v>698</v>
      </c>
      <c r="E110" s="145" t="n">
        <v>143</v>
      </c>
      <c r="F110" s="145" t="n">
        <v>292</v>
      </c>
      <c r="G110" s="146" t="s">
        <v>236</v>
      </c>
    </row>
    <row r="111" customFormat="false" ht="15.75" hidden="false" customHeight="true" outlineLevel="0" collapsed="false">
      <c r="A111" s="144" t="s">
        <v>699</v>
      </c>
      <c r="B111" s="144" t="s">
        <v>700</v>
      </c>
      <c r="C111" s="144"/>
      <c r="D111" s="146" t="s">
        <v>700</v>
      </c>
      <c r="E111" s="145" t="n">
        <v>465</v>
      </c>
      <c r="F111" s="145" t="n">
        <v>2030</v>
      </c>
      <c r="G111" s="146" t="s">
        <v>236</v>
      </c>
    </row>
    <row r="112" customFormat="false" ht="15.75" hidden="false" customHeight="true" outlineLevel="0" collapsed="false">
      <c r="A112" s="144" t="s">
        <v>701</v>
      </c>
      <c r="B112" s="144" t="s">
        <v>702</v>
      </c>
      <c r="C112" s="144"/>
      <c r="D112" s="146" t="s">
        <v>702</v>
      </c>
      <c r="E112" s="145" t="n">
        <v>2000</v>
      </c>
      <c r="F112" s="145" t="n">
        <v>4000</v>
      </c>
      <c r="G112" s="146" t="s">
        <v>236</v>
      </c>
    </row>
    <row r="113" customFormat="false" ht="15.75" hidden="false" customHeight="true" outlineLevel="0" collapsed="false">
      <c r="A113" s="144" t="s">
        <v>703</v>
      </c>
      <c r="B113" s="144" t="s">
        <v>704</v>
      </c>
      <c r="C113" s="144"/>
      <c r="D113" s="146" t="s">
        <v>704</v>
      </c>
      <c r="E113" s="145" t="n">
        <v>5750</v>
      </c>
      <c r="F113" s="145" t="n">
        <v>5900</v>
      </c>
      <c r="G113" s="146" t="s">
        <v>236</v>
      </c>
    </row>
    <row r="114" customFormat="false" ht="15.75" hidden="false" customHeight="true" outlineLevel="0" collapsed="false">
      <c r="A114" s="144" t="s">
        <v>705</v>
      </c>
      <c r="B114" s="144" t="s">
        <v>706</v>
      </c>
      <c r="C114" s="144"/>
      <c r="D114" s="146" t="s">
        <v>706</v>
      </c>
      <c r="E114" s="145" t="n">
        <v>500</v>
      </c>
      <c r="F114" s="145" t="n">
        <v>1035</v>
      </c>
      <c r="G114" s="146" t="s">
        <v>236</v>
      </c>
    </row>
    <row r="115" customFormat="false" ht="15.75" hidden="false" customHeight="true" outlineLevel="0" collapsed="false">
      <c r="A115" s="144" t="s">
        <v>707</v>
      </c>
      <c r="B115" s="144" t="s">
        <v>708</v>
      </c>
      <c r="C115" s="144"/>
      <c r="D115" s="146" t="s">
        <v>708</v>
      </c>
      <c r="E115" s="145" t="n">
        <v>20</v>
      </c>
      <c r="F115" s="145" t="n">
        <v>2000</v>
      </c>
      <c r="G115" s="146" t="s">
        <v>236</v>
      </c>
    </row>
    <row r="116" customFormat="false" ht="15.75" hidden="false" customHeight="true" outlineLevel="0" collapsed="false">
      <c r="A116" s="144" t="s">
        <v>709</v>
      </c>
      <c r="B116" s="144" t="s">
        <v>710</v>
      </c>
      <c r="C116" s="144"/>
      <c r="D116" s="146" t="s">
        <v>710</v>
      </c>
      <c r="E116" s="145" t="n">
        <v>3</v>
      </c>
      <c r="F116" s="145" t="n">
        <v>94</v>
      </c>
      <c r="G116" s="146" t="s">
        <v>236</v>
      </c>
    </row>
    <row r="117" customFormat="false" ht="15.75" hidden="false" customHeight="true" outlineLevel="0" collapsed="false">
      <c r="A117" s="144" t="s">
        <v>711</v>
      </c>
      <c r="B117" s="144"/>
      <c r="C117" s="144" t="s">
        <v>630</v>
      </c>
      <c r="D117" s="146" t="s">
        <v>630</v>
      </c>
      <c r="E117" s="145" t="n">
        <v>38</v>
      </c>
      <c r="F117" s="145" t="n">
        <v>96</v>
      </c>
      <c r="G117" s="146" t="s">
        <v>236</v>
      </c>
    </row>
    <row r="118" customFormat="false" ht="15.75" hidden="false" customHeight="true" outlineLevel="0" collapsed="false">
      <c r="A118" s="144" t="s">
        <v>712</v>
      </c>
      <c r="B118" s="144"/>
      <c r="C118" s="144" t="s">
        <v>630</v>
      </c>
      <c r="D118" s="146" t="s">
        <v>630</v>
      </c>
      <c r="E118" s="145" t="n">
        <v>38</v>
      </c>
      <c r="F118" s="145" t="n">
        <v>96</v>
      </c>
      <c r="G118" s="146" t="s">
        <v>236</v>
      </c>
    </row>
    <row r="119" customFormat="false" ht="15.75" hidden="false" customHeight="true" outlineLevel="0" collapsed="false">
      <c r="A119" s="144" t="s">
        <v>713</v>
      </c>
      <c r="B119" s="144"/>
      <c r="C119" s="144" t="s">
        <v>714</v>
      </c>
      <c r="D119" s="146" t="s">
        <v>714</v>
      </c>
      <c r="E119" s="145" t="n">
        <v>5950</v>
      </c>
      <c r="F119" s="145" t="n">
        <v>10539</v>
      </c>
      <c r="G119" s="146" t="s">
        <v>236</v>
      </c>
    </row>
    <row r="120" customFormat="false" ht="15.75" hidden="false" customHeight="true" outlineLevel="0" collapsed="false">
      <c r="A120" s="144" t="s">
        <v>715</v>
      </c>
      <c r="B120" s="144" t="s">
        <v>661</v>
      </c>
      <c r="C120" s="144"/>
      <c r="D120" s="146" t="s">
        <v>661</v>
      </c>
      <c r="E120" s="145" t="n">
        <v>15000</v>
      </c>
      <c r="F120" s="145" t="n">
        <v>20000</v>
      </c>
      <c r="G120" s="146" t="s">
        <v>236</v>
      </c>
    </row>
    <row r="121" customFormat="false" ht="15.75" hidden="false" customHeight="true" outlineLevel="0" collapsed="false">
      <c r="A121" s="144" t="s">
        <v>716</v>
      </c>
      <c r="B121" s="144" t="s">
        <v>717</v>
      </c>
      <c r="C121" s="144"/>
      <c r="D121" s="146" t="s">
        <v>717</v>
      </c>
      <c r="E121" s="145" t="n">
        <v>33</v>
      </c>
      <c r="F121" s="145" t="n">
        <v>110</v>
      </c>
      <c r="G121" s="146" t="s">
        <v>236</v>
      </c>
    </row>
    <row r="122" customFormat="false" ht="15.75" hidden="false" customHeight="true" outlineLevel="0" collapsed="false">
      <c r="A122" s="144" t="s">
        <v>718</v>
      </c>
      <c r="B122" s="144" t="s">
        <v>719</v>
      </c>
      <c r="C122" s="144"/>
      <c r="D122" s="146" t="s">
        <v>719</v>
      </c>
      <c r="E122" s="145" t="n">
        <v>2000</v>
      </c>
      <c r="F122" s="145" t="n">
        <v>2000</v>
      </c>
      <c r="G122" s="146" t="s">
        <v>236</v>
      </c>
    </row>
    <row r="123" customFormat="false" ht="15.75" hidden="false" customHeight="true" outlineLevel="0" collapsed="false">
      <c r="A123" s="144" t="s">
        <v>720</v>
      </c>
      <c r="B123" s="144"/>
      <c r="C123" s="144" t="s">
        <v>630</v>
      </c>
      <c r="D123" s="146" t="s">
        <v>630</v>
      </c>
      <c r="E123" s="145" t="n">
        <v>38</v>
      </c>
      <c r="F123" s="145" t="n">
        <v>96</v>
      </c>
      <c r="G123" s="146" t="s">
        <v>236</v>
      </c>
    </row>
    <row r="124" customFormat="false" ht="15.75" hidden="false" customHeight="true" outlineLevel="0" collapsed="false">
      <c r="A124" s="144" t="s">
        <v>721</v>
      </c>
      <c r="B124" s="144" t="s">
        <v>722</v>
      </c>
      <c r="C124" s="144"/>
      <c r="D124" s="146" t="s">
        <v>722</v>
      </c>
      <c r="E124" s="145" t="n">
        <v>15</v>
      </c>
      <c r="F124" s="145" t="n">
        <v>84</v>
      </c>
      <c r="G124" s="146" t="s">
        <v>236</v>
      </c>
    </row>
    <row r="125" customFormat="false" ht="15.75" hidden="false" customHeight="true" outlineLevel="0" collapsed="false">
      <c r="A125" s="144" t="s">
        <v>723</v>
      </c>
      <c r="B125" s="144" t="s">
        <v>724</v>
      </c>
      <c r="C125" s="144"/>
      <c r="D125" s="146" t="s">
        <v>724</v>
      </c>
      <c r="E125" s="145" t="n">
        <v>4540</v>
      </c>
      <c r="F125" s="145" t="n">
        <v>21364</v>
      </c>
      <c r="G125" s="146" t="s">
        <v>236</v>
      </c>
    </row>
    <row r="126" customFormat="false" ht="15.75" hidden="false" customHeight="true" outlineLevel="0" collapsed="false">
      <c r="A126" s="144" t="s">
        <v>725</v>
      </c>
      <c r="B126" s="144"/>
      <c r="C126" s="144" t="s">
        <v>630</v>
      </c>
      <c r="D126" s="146" t="s">
        <v>630</v>
      </c>
      <c r="E126" s="145" t="n">
        <v>38</v>
      </c>
      <c r="F126" s="145" t="n">
        <v>96</v>
      </c>
      <c r="G126" s="146" t="s">
        <v>236</v>
      </c>
    </row>
    <row r="127" customFormat="false" ht="15.75" hidden="false" customHeight="true" outlineLevel="0" collapsed="false">
      <c r="A127" s="144" t="s">
        <v>726</v>
      </c>
      <c r="B127" s="144" t="s">
        <v>727</v>
      </c>
      <c r="C127" s="144"/>
      <c r="D127" s="146" t="s">
        <v>727</v>
      </c>
      <c r="E127" s="145" t="n">
        <v>5</v>
      </c>
      <c r="F127" s="145" t="n">
        <v>69</v>
      </c>
      <c r="G127" s="146" t="s">
        <v>236</v>
      </c>
    </row>
    <row r="128" customFormat="false" ht="15.75" hidden="false" customHeight="true" outlineLevel="0" collapsed="false">
      <c r="A128" s="144" t="s">
        <v>728</v>
      </c>
      <c r="B128" s="144"/>
      <c r="C128" s="144" t="s">
        <v>630</v>
      </c>
      <c r="D128" s="146" t="s">
        <v>630</v>
      </c>
      <c r="E128" s="145" t="n">
        <v>38</v>
      </c>
      <c r="F128" s="145" t="n">
        <v>96</v>
      </c>
      <c r="G128" s="146" t="s">
        <v>236</v>
      </c>
    </row>
    <row r="129" customFormat="false" ht="15.75" hidden="false" customHeight="true" outlineLevel="0" collapsed="false">
      <c r="A129" s="144" t="s">
        <v>729</v>
      </c>
      <c r="B129" s="144"/>
      <c r="C129" s="144" t="s">
        <v>630</v>
      </c>
      <c r="D129" s="146" t="s">
        <v>630</v>
      </c>
      <c r="E129" s="145" t="n">
        <v>38</v>
      </c>
      <c r="F129" s="145" t="n">
        <v>96</v>
      </c>
      <c r="G129" s="146" t="s">
        <v>236</v>
      </c>
    </row>
    <row r="130" customFormat="false" ht="15.75" hidden="false" customHeight="true" outlineLevel="0" collapsed="false">
      <c r="A130" s="144" t="s">
        <v>730</v>
      </c>
      <c r="B130" s="144" t="s">
        <v>647</v>
      </c>
      <c r="C130" s="144"/>
      <c r="D130" s="146" t="s">
        <v>647</v>
      </c>
      <c r="E130" s="145" t="n">
        <v>8</v>
      </c>
      <c r="F130" s="145" t="n">
        <v>38</v>
      </c>
      <c r="G130" s="146" t="s">
        <v>236</v>
      </c>
    </row>
    <row r="131" customFormat="false" ht="15.75" hidden="false" customHeight="true" outlineLevel="0" collapsed="false">
      <c r="A131" s="144" t="s">
        <v>731</v>
      </c>
      <c r="B131" s="144" t="s">
        <v>732</v>
      </c>
      <c r="C131" s="144"/>
      <c r="D131" s="146" t="s">
        <v>732</v>
      </c>
      <c r="E131" s="145" t="n">
        <v>10</v>
      </c>
      <c r="F131" s="145" t="n">
        <v>55</v>
      </c>
      <c r="G131" s="146" t="s">
        <v>236</v>
      </c>
    </row>
    <row r="132" customFormat="false" ht="15.75" hidden="false" customHeight="true" outlineLevel="0" collapsed="false">
      <c r="A132" s="144" t="s">
        <v>733</v>
      </c>
      <c r="B132" s="144"/>
      <c r="C132" s="144" t="s">
        <v>630</v>
      </c>
      <c r="D132" s="146" t="s">
        <v>630</v>
      </c>
      <c r="E132" s="145" t="n">
        <v>38</v>
      </c>
      <c r="F132" s="145" t="n">
        <v>96</v>
      </c>
      <c r="G132" s="146" t="s">
        <v>236</v>
      </c>
    </row>
    <row r="133" customFormat="false" ht="15.75" hidden="false" customHeight="true" outlineLevel="0" collapsed="false">
      <c r="A133" s="144" t="s">
        <v>734</v>
      </c>
      <c r="B133" s="144" t="s">
        <v>735</v>
      </c>
      <c r="C133" s="144"/>
      <c r="D133" s="146" t="s">
        <v>735</v>
      </c>
      <c r="E133" s="145" t="n">
        <v>162</v>
      </c>
      <c r="F133" s="145" t="n">
        <v>349</v>
      </c>
      <c r="G133" s="146" t="s">
        <v>236</v>
      </c>
    </row>
    <row r="134" customFormat="false" ht="15.75" hidden="false" customHeight="true" outlineLevel="0" collapsed="false">
      <c r="A134" s="144" t="s">
        <v>736</v>
      </c>
      <c r="B134" s="144" t="s">
        <v>737</v>
      </c>
      <c r="C134" s="144"/>
      <c r="D134" s="146" t="s">
        <v>737</v>
      </c>
      <c r="E134" s="145" t="n">
        <v>230</v>
      </c>
      <c r="F134" s="145" t="n">
        <v>230</v>
      </c>
      <c r="G134" s="146" t="s">
        <v>236</v>
      </c>
    </row>
    <row r="135" customFormat="false" ht="15.75" hidden="false" customHeight="true" outlineLevel="0" collapsed="false">
      <c r="A135" s="144" t="s">
        <v>738</v>
      </c>
      <c r="B135" s="144"/>
      <c r="C135" s="144" t="s">
        <v>630</v>
      </c>
      <c r="D135" s="146" t="s">
        <v>630</v>
      </c>
      <c r="E135" s="145" t="n">
        <v>38</v>
      </c>
      <c r="F135" s="145" t="n">
        <v>96</v>
      </c>
      <c r="G135" s="146" t="s">
        <v>236</v>
      </c>
    </row>
    <row r="136" customFormat="false" ht="15.75" hidden="false" customHeight="true" outlineLevel="0" collapsed="false">
      <c r="A136" s="144" t="s">
        <v>739</v>
      </c>
      <c r="B136" s="144" t="s">
        <v>740</v>
      </c>
      <c r="C136" s="144"/>
      <c r="D136" s="146" t="s">
        <v>740</v>
      </c>
      <c r="E136" s="145" t="n">
        <v>160</v>
      </c>
      <c r="F136" s="145" t="n">
        <v>160</v>
      </c>
      <c r="G136" s="146" t="s">
        <v>236</v>
      </c>
    </row>
    <row r="137" customFormat="false" ht="15.75" hidden="false" customHeight="true" outlineLevel="0" collapsed="false">
      <c r="A137" s="144" t="s">
        <v>741</v>
      </c>
      <c r="B137" s="144" t="s">
        <v>742</v>
      </c>
      <c r="C137" s="144"/>
      <c r="D137" s="146" t="s">
        <v>742</v>
      </c>
      <c r="E137" s="145" t="n">
        <v>46</v>
      </c>
      <c r="F137" s="145" t="n">
        <v>46</v>
      </c>
      <c r="G137" s="146" t="s">
        <v>236</v>
      </c>
    </row>
    <row r="138" customFormat="false" ht="15.75" hidden="false" customHeight="true" outlineLevel="0" collapsed="false">
      <c r="A138" s="144" t="s">
        <v>743</v>
      </c>
      <c r="B138" s="144" t="s">
        <v>744</v>
      </c>
      <c r="C138" s="144"/>
      <c r="D138" s="146" t="s">
        <v>744</v>
      </c>
      <c r="E138" s="145" t="n">
        <v>64</v>
      </c>
      <c r="F138" s="145" t="n">
        <v>66</v>
      </c>
      <c r="G138" s="146" t="s">
        <v>236</v>
      </c>
    </row>
    <row r="139" customFormat="false" ht="15.75" hidden="false" customHeight="true" outlineLevel="0" collapsed="false">
      <c r="A139" s="144" t="s">
        <v>745</v>
      </c>
      <c r="B139" s="144" t="s">
        <v>746</v>
      </c>
      <c r="C139" s="144"/>
      <c r="D139" s="146" t="s">
        <v>746</v>
      </c>
      <c r="E139" s="145" t="n">
        <v>30</v>
      </c>
      <c r="F139" s="145" t="n">
        <v>224</v>
      </c>
      <c r="G139" s="146" t="s">
        <v>236</v>
      </c>
    </row>
    <row r="140" customFormat="false" ht="15.75" hidden="false" customHeight="true" outlineLevel="0" collapsed="false">
      <c r="A140" s="144" t="s">
        <v>747</v>
      </c>
      <c r="B140" s="144" t="s">
        <v>748</v>
      </c>
      <c r="C140" s="144"/>
      <c r="D140" s="146" t="s">
        <v>748</v>
      </c>
      <c r="E140" s="145" t="n">
        <v>2300</v>
      </c>
      <c r="F140" s="145" t="n">
        <v>5000</v>
      </c>
      <c r="G140" s="146" t="s">
        <v>236</v>
      </c>
    </row>
    <row r="141" customFormat="false" ht="15.75" hidden="false" customHeight="true" outlineLevel="0" collapsed="false">
      <c r="A141" s="144" t="s">
        <v>749</v>
      </c>
      <c r="B141" s="144"/>
      <c r="C141" s="144" t="s">
        <v>630</v>
      </c>
      <c r="D141" s="146" t="s">
        <v>630</v>
      </c>
      <c r="E141" s="145" t="n">
        <v>38</v>
      </c>
      <c r="F141" s="145" t="n">
        <v>96</v>
      </c>
      <c r="G141" s="146" t="s">
        <v>236</v>
      </c>
    </row>
    <row r="142" customFormat="false" ht="15.75" hidden="false" customHeight="true" outlineLevel="0" collapsed="false">
      <c r="A142" s="144" t="s">
        <v>750</v>
      </c>
      <c r="B142" s="233" t="s">
        <v>751</v>
      </c>
      <c r="C142" s="144"/>
      <c r="D142" s="146" t="s">
        <v>751</v>
      </c>
      <c r="E142" s="145" t="n">
        <v>11</v>
      </c>
      <c r="F142" s="145" t="n">
        <v>24</v>
      </c>
      <c r="G142" s="146" t="s">
        <v>236</v>
      </c>
    </row>
    <row r="143" customFormat="false" ht="15.75" hidden="false" customHeight="true" outlineLevel="0" collapsed="false">
      <c r="A143" s="144" t="s">
        <v>752</v>
      </c>
      <c r="B143" s="144"/>
      <c r="C143" s="144" t="s">
        <v>630</v>
      </c>
      <c r="D143" s="146" t="s">
        <v>630</v>
      </c>
      <c r="E143" s="145" t="n">
        <v>38</v>
      </c>
      <c r="F143" s="145" t="n">
        <v>96</v>
      </c>
      <c r="G143" s="146" t="s">
        <v>236</v>
      </c>
    </row>
    <row r="144" customFormat="false" ht="15.75" hidden="false" customHeight="true" outlineLevel="0" collapsed="false">
      <c r="A144" s="144" t="s">
        <v>753</v>
      </c>
      <c r="B144" s="144" t="s">
        <v>754</v>
      </c>
      <c r="C144" s="144"/>
      <c r="D144" s="146" t="s">
        <v>754</v>
      </c>
      <c r="E144" s="145" t="n">
        <v>993</v>
      </c>
      <c r="F144" s="145" t="n">
        <v>2103</v>
      </c>
      <c r="G144" s="146" t="s">
        <v>236</v>
      </c>
    </row>
    <row r="145" customFormat="false" ht="15.75" hidden="false" customHeight="true" outlineLevel="0" collapsed="false">
      <c r="A145" s="144" t="s">
        <v>755</v>
      </c>
      <c r="B145" s="144" t="s">
        <v>756</v>
      </c>
      <c r="C145" s="144"/>
      <c r="D145" s="146" t="s">
        <v>756</v>
      </c>
      <c r="E145" s="145" t="n">
        <v>1238</v>
      </c>
      <c r="F145" s="145" t="n">
        <v>1238</v>
      </c>
      <c r="G145" s="146" t="s">
        <v>236</v>
      </c>
    </row>
    <row r="146" customFormat="false" ht="15.75" hidden="false" customHeight="true" outlineLevel="0" collapsed="false">
      <c r="A146" s="144" t="s">
        <v>757</v>
      </c>
      <c r="B146" s="144"/>
      <c r="C146" s="144" t="s">
        <v>630</v>
      </c>
      <c r="D146" s="146" t="s">
        <v>630</v>
      </c>
      <c r="E146" s="145" t="n">
        <v>38</v>
      </c>
      <c r="F146" s="145" t="n">
        <v>96</v>
      </c>
      <c r="G146" s="146" t="s">
        <v>236</v>
      </c>
    </row>
    <row r="147" customFormat="false" ht="15.75" hidden="false" customHeight="true" outlineLevel="0" collapsed="false">
      <c r="A147" s="144" t="s">
        <v>758</v>
      </c>
      <c r="B147" s="144" t="s">
        <v>759</v>
      </c>
      <c r="C147" s="144"/>
      <c r="D147" s="146" t="s">
        <v>759</v>
      </c>
      <c r="E147" s="145" t="n">
        <v>50</v>
      </c>
      <c r="F147" s="145" t="n">
        <v>50</v>
      </c>
      <c r="G147" s="146" t="s">
        <v>236</v>
      </c>
    </row>
    <row r="148" customFormat="false" ht="15.75" hidden="false" customHeight="true" outlineLevel="0" collapsed="false">
      <c r="A148" s="144" t="s">
        <v>760</v>
      </c>
      <c r="B148" s="144" t="s">
        <v>761</v>
      </c>
      <c r="C148" s="144"/>
      <c r="D148" s="146" t="s">
        <v>761</v>
      </c>
      <c r="E148" s="145" t="n">
        <v>1500</v>
      </c>
      <c r="F148" s="145" t="n">
        <v>1500</v>
      </c>
      <c r="G148" s="146" t="s">
        <v>236</v>
      </c>
    </row>
    <row r="149" customFormat="false" ht="15.75" hidden="false" customHeight="true" outlineLevel="0" collapsed="false">
      <c r="A149" s="144" t="s">
        <v>762</v>
      </c>
      <c r="B149" s="144" t="s">
        <v>763</v>
      </c>
      <c r="C149" s="144"/>
      <c r="D149" s="146" t="s">
        <v>763</v>
      </c>
      <c r="E149" s="145" t="n">
        <v>1295</v>
      </c>
      <c r="F149" s="145" t="n">
        <v>1295</v>
      </c>
      <c r="G149" s="146" t="s">
        <v>236</v>
      </c>
    </row>
    <row r="150" customFormat="false" ht="15.75" hidden="false" customHeight="true" outlineLevel="0" collapsed="false">
      <c r="A150" s="144" t="s">
        <v>764</v>
      </c>
      <c r="B150" s="144"/>
      <c r="C150" s="144" t="s">
        <v>714</v>
      </c>
      <c r="D150" s="146" t="s">
        <v>714</v>
      </c>
      <c r="E150" s="145" t="n">
        <v>5950</v>
      </c>
      <c r="F150" s="145" t="n">
        <v>10539</v>
      </c>
      <c r="G150" s="146" t="s">
        <v>236</v>
      </c>
    </row>
    <row r="151" customFormat="false" ht="15.75" hidden="false" customHeight="true" outlineLevel="0" collapsed="false">
      <c r="A151" s="144" t="s">
        <v>765</v>
      </c>
      <c r="B151" s="144" t="s">
        <v>766</v>
      </c>
      <c r="C151" s="144"/>
      <c r="D151" s="146" t="s">
        <v>766</v>
      </c>
      <c r="E151" s="145" t="n">
        <v>200</v>
      </c>
      <c r="F151" s="145" t="n">
        <v>200</v>
      </c>
      <c r="G151" s="146" t="s">
        <v>236</v>
      </c>
    </row>
    <row r="152" customFormat="false" ht="15.75" hidden="false" customHeight="true" outlineLevel="0" collapsed="false">
      <c r="A152" s="144" t="s">
        <v>767</v>
      </c>
      <c r="B152" s="144" t="s">
        <v>654</v>
      </c>
      <c r="C152" s="144"/>
      <c r="D152" s="146" t="s">
        <v>654</v>
      </c>
      <c r="E152" s="145" t="n">
        <v>120</v>
      </c>
      <c r="F152" s="145" t="n">
        <v>183</v>
      </c>
      <c r="G152" s="146" t="s">
        <v>236</v>
      </c>
    </row>
    <row r="153" customFormat="false" ht="15.75" hidden="false" customHeight="true" outlineLevel="0" collapsed="false">
      <c r="A153" s="144" t="s">
        <v>586</v>
      </c>
      <c r="B153" s="144" t="s">
        <v>768</v>
      </c>
      <c r="C153" s="144"/>
      <c r="D153" s="146" t="s">
        <v>768</v>
      </c>
      <c r="E153" s="145" t="n">
        <v>909</v>
      </c>
      <c r="F153" s="145" t="n">
        <v>1364</v>
      </c>
      <c r="G153" s="146" t="s">
        <v>236</v>
      </c>
    </row>
    <row r="154" customFormat="false" ht="15.75" hidden="false" customHeight="true" outlineLevel="0" collapsed="false">
      <c r="A154" s="144" t="s">
        <v>769</v>
      </c>
      <c r="B154" s="144" t="s">
        <v>770</v>
      </c>
      <c r="C154" s="144"/>
      <c r="D154" s="146" t="s">
        <v>770</v>
      </c>
      <c r="E154" s="145" t="n">
        <v>187</v>
      </c>
      <c r="F154" s="145" t="n">
        <v>9072</v>
      </c>
      <c r="G154" s="146" t="s">
        <v>236</v>
      </c>
    </row>
    <row r="155" customFormat="false" ht="15.75" hidden="false" customHeight="true" outlineLevel="0" collapsed="false">
      <c r="A155" s="144" t="s">
        <v>771</v>
      </c>
      <c r="B155" s="144"/>
      <c r="C155" s="144" t="s">
        <v>630</v>
      </c>
      <c r="D155" s="146" t="s">
        <v>630</v>
      </c>
      <c r="E155" s="145" t="n">
        <v>38</v>
      </c>
      <c r="F155" s="145" t="n">
        <v>96</v>
      </c>
      <c r="G155" s="146" t="s">
        <v>236</v>
      </c>
    </row>
    <row r="156" customFormat="false" ht="15.75" hidden="false" customHeight="true" outlineLevel="0" collapsed="false">
      <c r="A156" s="144" t="s">
        <v>772</v>
      </c>
      <c r="B156" s="144"/>
      <c r="C156" s="144" t="s">
        <v>630</v>
      </c>
      <c r="D156" s="146" t="s">
        <v>630</v>
      </c>
      <c r="E156" s="145" t="n">
        <v>38</v>
      </c>
      <c r="F156" s="145" t="n">
        <v>96</v>
      </c>
      <c r="G156" s="146" t="s">
        <v>236</v>
      </c>
    </row>
    <row r="157" customFormat="false" ht="15.75" hidden="false" customHeight="true" outlineLevel="0" collapsed="false">
      <c r="A157" s="144" t="s">
        <v>773</v>
      </c>
      <c r="B157" s="144" t="s">
        <v>774</v>
      </c>
      <c r="C157" s="144"/>
      <c r="D157" s="146" t="s">
        <v>774</v>
      </c>
      <c r="E157" s="145" t="n">
        <v>7</v>
      </c>
      <c r="F157" s="145" t="n">
        <v>189</v>
      </c>
      <c r="G157" s="146" t="s">
        <v>236</v>
      </c>
    </row>
    <row r="158" customFormat="false" ht="15.75" hidden="false" customHeight="true" outlineLevel="0" collapsed="false">
      <c r="A158" s="144" t="s">
        <v>775</v>
      </c>
      <c r="B158" s="144" t="s">
        <v>776</v>
      </c>
      <c r="C158" s="144"/>
      <c r="D158" s="146" t="s">
        <v>776</v>
      </c>
      <c r="E158" s="145" t="n">
        <v>1057</v>
      </c>
      <c r="F158" s="145" t="n">
        <v>27300</v>
      </c>
      <c r="G158" s="146" t="s">
        <v>236</v>
      </c>
    </row>
    <row r="159" customFormat="false" ht="15.75" hidden="false" customHeight="true" outlineLevel="0" collapsed="false">
      <c r="A159" s="144" t="s">
        <v>777</v>
      </c>
      <c r="B159" s="144" t="s">
        <v>778</v>
      </c>
      <c r="C159" s="144"/>
      <c r="D159" s="146" t="s">
        <v>778</v>
      </c>
      <c r="E159" s="145" t="n">
        <v>2273</v>
      </c>
      <c r="F159" s="145" t="n">
        <v>25000</v>
      </c>
      <c r="G159" s="146" t="s">
        <v>236</v>
      </c>
    </row>
    <row r="160" customFormat="false" ht="15.75" hidden="false" customHeight="true" outlineLevel="0" collapsed="false">
      <c r="A160" s="144" t="s">
        <v>779</v>
      </c>
      <c r="B160" s="144" t="s">
        <v>780</v>
      </c>
      <c r="C160" s="144"/>
      <c r="D160" s="146" t="s">
        <v>780</v>
      </c>
      <c r="E160" s="145" t="n">
        <v>31000</v>
      </c>
      <c r="F160" s="145" t="n">
        <v>60000</v>
      </c>
      <c r="G160" s="146" t="s">
        <v>236</v>
      </c>
    </row>
    <row r="161" customFormat="false" ht="15.75" hidden="false" customHeight="true" outlineLevel="0" collapsed="false">
      <c r="A161" s="144" t="s">
        <v>781</v>
      </c>
      <c r="B161" s="144" t="s">
        <v>782</v>
      </c>
      <c r="C161" s="144"/>
      <c r="D161" s="146" t="s">
        <v>782</v>
      </c>
      <c r="E161" s="145" t="n">
        <v>14412</v>
      </c>
      <c r="F161" s="145" t="n">
        <v>16562</v>
      </c>
      <c r="G161" s="146" t="s">
        <v>236</v>
      </c>
    </row>
    <row r="162" customFormat="false" ht="15.75" hidden="false" customHeight="true" outlineLevel="0" collapsed="false">
      <c r="A162" s="144" t="s">
        <v>783</v>
      </c>
      <c r="B162" s="144" t="s">
        <v>784</v>
      </c>
      <c r="C162" s="144"/>
      <c r="D162" s="146" t="s">
        <v>784</v>
      </c>
      <c r="E162" s="145" t="n">
        <v>931</v>
      </c>
      <c r="F162" s="145" t="n">
        <v>931</v>
      </c>
      <c r="G162" s="146" t="s">
        <v>236</v>
      </c>
    </row>
    <row r="163" customFormat="false" ht="15.75" hidden="false" customHeight="true" outlineLevel="0" collapsed="false">
      <c r="A163" s="144" t="s">
        <v>785</v>
      </c>
      <c r="B163" s="144"/>
      <c r="C163" s="144" t="s">
        <v>630</v>
      </c>
      <c r="D163" s="146" t="s">
        <v>630</v>
      </c>
      <c r="E163" s="145" t="n">
        <v>38</v>
      </c>
      <c r="F163" s="145" t="n">
        <v>96</v>
      </c>
      <c r="G163" s="146" t="s">
        <v>236</v>
      </c>
    </row>
    <row r="164" customFormat="false" ht="15.75" hidden="false" customHeight="true" outlineLevel="0" collapsed="false">
      <c r="A164" s="144" t="s">
        <v>786</v>
      </c>
      <c r="B164" s="144" t="s">
        <v>787</v>
      </c>
      <c r="C164" s="144"/>
      <c r="D164" s="146" t="s">
        <v>787</v>
      </c>
      <c r="E164" s="145" t="n">
        <v>50</v>
      </c>
      <c r="F164" s="145" t="n">
        <v>618</v>
      </c>
      <c r="G164" s="146" t="s">
        <v>236</v>
      </c>
    </row>
    <row r="165" customFormat="false" ht="15.75" hidden="false" customHeight="true" outlineLevel="0" collapsed="false">
      <c r="A165" s="144" t="s">
        <v>788</v>
      </c>
      <c r="B165" s="144" t="s">
        <v>681</v>
      </c>
      <c r="C165" s="144"/>
      <c r="D165" s="146" t="s">
        <v>681</v>
      </c>
      <c r="E165" s="145" t="n">
        <v>237</v>
      </c>
      <c r="F165" s="145" t="n">
        <v>1034</v>
      </c>
      <c r="G165" s="146" t="s">
        <v>236</v>
      </c>
    </row>
    <row r="166" customFormat="false" ht="15.75" hidden="false" customHeight="true" outlineLevel="0" collapsed="false">
      <c r="A166" s="144" t="s">
        <v>789</v>
      </c>
      <c r="B166" s="144" t="s">
        <v>790</v>
      </c>
      <c r="C166" s="144"/>
      <c r="D166" s="146" t="s">
        <v>790</v>
      </c>
      <c r="E166" s="145" t="n">
        <v>28000</v>
      </c>
      <c r="F166" s="145" t="n">
        <v>28000</v>
      </c>
      <c r="G166" s="146" t="s">
        <v>236</v>
      </c>
    </row>
    <row r="167" customFormat="false" ht="15.75" hidden="false" customHeight="true" outlineLevel="0" collapsed="false">
      <c r="A167" s="144" t="s">
        <v>791</v>
      </c>
      <c r="B167" s="144" t="s">
        <v>792</v>
      </c>
      <c r="C167" s="144"/>
      <c r="D167" s="146" t="s">
        <v>792</v>
      </c>
      <c r="E167" s="145" t="n">
        <v>1800</v>
      </c>
      <c r="F167" s="145" t="n">
        <v>1800</v>
      </c>
      <c r="G167" s="146" t="s">
        <v>236</v>
      </c>
    </row>
    <row r="168" customFormat="false" ht="15.75" hidden="false" customHeight="true" outlineLevel="0" collapsed="false">
      <c r="A168" s="144" t="s">
        <v>793</v>
      </c>
      <c r="B168" s="144"/>
      <c r="C168" s="144" t="s">
        <v>630</v>
      </c>
      <c r="D168" s="146" t="s">
        <v>630</v>
      </c>
      <c r="E168" s="145" t="n">
        <v>38</v>
      </c>
      <c r="F168" s="145" t="n">
        <v>96</v>
      </c>
      <c r="G168" s="146" t="s">
        <v>236</v>
      </c>
    </row>
    <row r="169" customFormat="false" ht="15.75" hidden="false" customHeight="true" outlineLevel="0" collapsed="false">
      <c r="A169" s="144" t="s">
        <v>794</v>
      </c>
      <c r="B169" s="144"/>
      <c r="C169" s="144" t="s">
        <v>630</v>
      </c>
      <c r="D169" s="146" t="s">
        <v>630</v>
      </c>
      <c r="E169" s="145" t="n">
        <v>38</v>
      </c>
      <c r="F169" s="145" t="n">
        <v>96</v>
      </c>
      <c r="G169" s="146" t="s">
        <v>236</v>
      </c>
    </row>
    <row r="170" customFormat="false" ht="15.75" hidden="false" customHeight="true" outlineLevel="0" collapsed="false">
      <c r="A170" s="144" t="s">
        <v>795</v>
      </c>
      <c r="B170" s="144" t="s">
        <v>796</v>
      </c>
      <c r="C170" s="144"/>
      <c r="D170" s="146" t="s">
        <v>796</v>
      </c>
      <c r="E170" s="145" t="n">
        <v>2000</v>
      </c>
      <c r="F170" s="145" t="n">
        <v>15000</v>
      </c>
      <c r="G170" s="146" t="s">
        <v>236</v>
      </c>
    </row>
    <row r="171" customFormat="false" ht="15.75" hidden="false" customHeight="true" outlineLevel="0" collapsed="false">
      <c r="A171" s="144" t="s">
        <v>797</v>
      </c>
      <c r="B171" s="144" t="s">
        <v>798</v>
      </c>
      <c r="C171" s="144"/>
      <c r="D171" s="146" t="s">
        <v>798</v>
      </c>
      <c r="E171" s="145" t="n">
        <v>638</v>
      </c>
      <c r="F171" s="145" t="n">
        <v>1023</v>
      </c>
      <c r="G171" s="146" t="s">
        <v>236</v>
      </c>
    </row>
    <row r="172" customFormat="false" ht="15.75" hidden="false" customHeight="true" outlineLevel="0" collapsed="false">
      <c r="A172" s="144" t="s">
        <v>799</v>
      </c>
      <c r="B172" s="144" t="s">
        <v>800</v>
      </c>
      <c r="C172" s="144"/>
      <c r="D172" s="146" t="s">
        <v>800</v>
      </c>
      <c r="E172" s="145" t="n">
        <v>1100</v>
      </c>
      <c r="F172" s="145" t="n">
        <v>1100</v>
      </c>
      <c r="G172" s="146" t="s">
        <v>236</v>
      </c>
    </row>
    <row r="173" customFormat="false" ht="15.75" hidden="false" customHeight="true" outlineLevel="0" collapsed="false">
      <c r="A173" s="144" t="s">
        <v>801</v>
      </c>
      <c r="B173" s="144" t="s">
        <v>802</v>
      </c>
      <c r="C173" s="144"/>
      <c r="D173" s="146" t="s">
        <v>802</v>
      </c>
      <c r="E173" s="145" t="n">
        <v>63</v>
      </c>
      <c r="F173" s="145" t="n">
        <v>63</v>
      </c>
      <c r="G173" s="146" t="s">
        <v>236</v>
      </c>
    </row>
    <row r="174" customFormat="false" ht="15.75" hidden="false" customHeight="true" outlineLevel="0" collapsed="false">
      <c r="A174" s="144" t="s">
        <v>568</v>
      </c>
      <c r="B174" s="144" t="s">
        <v>803</v>
      </c>
      <c r="C174" s="144"/>
      <c r="D174" s="146" t="s">
        <v>803</v>
      </c>
      <c r="E174" s="145" t="n">
        <v>1500</v>
      </c>
      <c r="F174" s="145" t="n">
        <v>14000</v>
      </c>
      <c r="G174" s="146" t="s">
        <v>236</v>
      </c>
    </row>
    <row r="175" customFormat="false" ht="15.75" hidden="false" customHeight="true" outlineLevel="0" collapsed="false">
      <c r="A175" s="144" t="s">
        <v>804</v>
      </c>
      <c r="B175" s="144"/>
      <c r="C175" s="144" t="s">
        <v>630</v>
      </c>
      <c r="D175" s="146" t="s">
        <v>630</v>
      </c>
      <c r="E175" s="145" t="n">
        <v>38</v>
      </c>
      <c r="F175" s="145" t="n">
        <v>96</v>
      </c>
      <c r="G175" s="146" t="s">
        <v>236</v>
      </c>
    </row>
    <row r="176" customFormat="false" ht="15.75" hidden="false" customHeight="true" outlineLevel="0" collapsed="false">
      <c r="A176" s="144" t="s">
        <v>805</v>
      </c>
      <c r="B176" s="144"/>
      <c r="C176" s="144" t="s">
        <v>630</v>
      </c>
      <c r="D176" s="146" t="s">
        <v>630</v>
      </c>
      <c r="E176" s="145" t="n">
        <v>38</v>
      </c>
      <c r="F176" s="145" t="n">
        <v>96</v>
      </c>
      <c r="G176" s="146" t="s">
        <v>236</v>
      </c>
    </row>
    <row r="177" customFormat="false" ht="15.75" hidden="false" customHeight="true" outlineLevel="0" collapsed="false">
      <c r="A177" s="144" t="s">
        <v>806</v>
      </c>
      <c r="B177" s="144"/>
      <c r="C177" s="144" t="s">
        <v>630</v>
      </c>
      <c r="D177" s="146" t="s">
        <v>630</v>
      </c>
      <c r="E177" s="145" t="n">
        <v>38</v>
      </c>
      <c r="F177" s="145" t="n">
        <v>96</v>
      </c>
      <c r="G177" s="146" t="s">
        <v>236</v>
      </c>
    </row>
    <row r="178" customFormat="false" ht="15.75" hidden="false" customHeight="true" outlineLevel="0" collapsed="false">
      <c r="A178" s="144" t="s">
        <v>807</v>
      </c>
      <c r="B178" s="144"/>
      <c r="C178" s="144" t="s">
        <v>630</v>
      </c>
      <c r="D178" s="146" t="s">
        <v>630</v>
      </c>
      <c r="E178" s="145" t="n">
        <v>38</v>
      </c>
      <c r="F178" s="145" t="n">
        <v>96</v>
      </c>
      <c r="G178" s="146" t="s">
        <v>236</v>
      </c>
    </row>
    <row r="179" customFormat="false" ht="15.75" hidden="false" customHeight="true" outlineLevel="0" collapsed="false">
      <c r="A179" s="144" t="s">
        <v>808</v>
      </c>
      <c r="B179" s="144" t="s">
        <v>809</v>
      </c>
      <c r="C179" s="144"/>
      <c r="D179" s="146" t="s">
        <v>809</v>
      </c>
      <c r="E179" s="145" t="n">
        <v>31</v>
      </c>
      <c r="F179" s="145" t="n">
        <v>42</v>
      </c>
      <c r="G179" s="146" t="s">
        <v>236</v>
      </c>
    </row>
    <row r="180" customFormat="false" ht="15.75" hidden="false" customHeight="true" outlineLevel="0" collapsed="false">
      <c r="A180" s="144" t="s">
        <v>810</v>
      </c>
      <c r="B180" s="144" t="s">
        <v>811</v>
      </c>
      <c r="C180" s="144"/>
      <c r="D180" s="146" t="s">
        <v>811</v>
      </c>
      <c r="E180" s="145" t="n">
        <v>886</v>
      </c>
      <c r="F180" s="145" t="n">
        <v>2699</v>
      </c>
      <c r="G180" s="146" t="s">
        <v>236</v>
      </c>
    </row>
    <row r="181" customFormat="false" ht="15.75" hidden="false" customHeight="true" outlineLevel="0" collapsed="false">
      <c r="A181" s="144" t="s">
        <v>812</v>
      </c>
      <c r="B181" s="144" t="s">
        <v>813</v>
      </c>
      <c r="C181" s="144"/>
      <c r="D181" s="146" t="s">
        <v>813</v>
      </c>
      <c r="E181" s="145" t="n">
        <v>54</v>
      </c>
      <c r="F181" s="145" t="n">
        <v>180000</v>
      </c>
      <c r="G181" s="146" t="s">
        <v>236</v>
      </c>
    </row>
    <row r="182" customFormat="false" ht="15.75" hidden="false" customHeight="true" outlineLevel="0" collapsed="false">
      <c r="A182" s="144" t="s">
        <v>814</v>
      </c>
      <c r="B182" s="144" t="s">
        <v>815</v>
      </c>
      <c r="C182" s="144"/>
      <c r="D182" s="146" t="s">
        <v>815</v>
      </c>
      <c r="E182" s="145" t="n">
        <v>451</v>
      </c>
      <c r="F182" s="145" t="n">
        <v>3490</v>
      </c>
      <c r="G182" s="146" t="s">
        <v>236</v>
      </c>
    </row>
    <row r="183" customFormat="false" ht="15.75" hidden="false" customHeight="true" outlineLevel="0" collapsed="false">
      <c r="A183" s="144" t="s">
        <v>816</v>
      </c>
      <c r="B183" s="144"/>
      <c r="C183" s="144" t="s">
        <v>630</v>
      </c>
      <c r="D183" s="146" t="s">
        <v>630</v>
      </c>
      <c r="E183" s="145" t="n">
        <v>38</v>
      </c>
      <c r="F183" s="145" t="n">
        <v>96</v>
      </c>
      <c r="G183" s="146" t="s">
        <v>236</v>
      </c>
    </row>
    <row r="184" customFormat="false" ht="15.75" hidden="false" customHeight="true" outlineLevel="0" collapsed="false">
      <c r="A184" s="144" t="s">
        <v>817</v>
      </c>
      <c r="B184" s="144" t="s">
        <v>818</v>
      </c>
      <c r="C184" s="144"/>
      <c r="D184" s="146" t="s">
        <v>818</v>
      </c>
      <c r="E184" s="145" t="n">
        <v>583</v>
      </c>
      <c r="F184" s="145" t="n">
        <v>583</v>
      </c>
      <c r="G184" s="146" t="s">
        <v>236</v>
      </c>
    </row>
    <row r="185" customFormat="false" ht="15.75" hidden="false" customHeight="true" outlineLevel="0" collapsed="false">
      <c r="A185" s="144" t="s">
        <v>819</v>
      </c>
      <c r="B185" s="144"/>
      <c r="C185" s="144" t="s">
        <v>630</v>
      </c>
      <c r="D185" s="146" t="s">
        <v>630</v>
      </c>
      <c r="E185" s="145" t="n">
        <v>38</v>
      </c>
      <c r="F185" s="145" t="n">
        <v>96</v>
      </c>
      <c r="G185" s="146" t="s">
        <v>236</v>
      </c>
    </row>
    <row r="186" customFormat="false" ht="15.75" hidden="false" customHeight="true" outlineLevel="0" collapsed="false">
      <c r="A186" s="144" t="s">
        <v>820</v>
      </c>
      <c r="B186" s="144" t="s">
        <v>821</v>
      </c>
      <c r="C186" s="144"/>
      <c r="D186" s="146" t="s">
        <v>821</v>
      </c>
      <c r="E186" s="145" t="n">
        <v>80</v>
      </c>
      <c r="F186" s="145" t="n">
        <v>500</v>
      </c>
      <c r="G186" s="146" t="s">
        <v>236</v>
      </c>
    </row>
    <row r="187" customFormat="false" ht="15.75" hidden="false" customHeight="true" outlineLevel="0" collapsed="false">
      <c r="A187" s="144" t="s">
        <v>822</v>
      </c>
      <c r="B187" s="144" t="s">
        <v>572</v>
      </c>
      <c r="C187" s="144"/>
      <c r="D187" s="146" t="s">
        <v>572</v>
      </c>
      <c r="E187" s="145" t="n">
        <v>400</v>
      </c>
      <c r="F187" s="145" t="n">
        <v>400</v>
      </c>
      <c r="G187" s="146" t="s">
        <v>236</v>
      </c>
    </row>
    <row r="188" customFormat="false" ht="15.75" hidden="false" customHeight="true" outlineLevel="0" collapsed="false">
      <c r="A188" s="144" t="s">
        <v>823</v>
      </c>
      <c r="B188" s="144" t="s">
        <v>824</v>
      </c>
      <c r="C188" s="144"/>
      <c r="D188" s="146" t="s">
        <v>824</v>
      </c>
      <c r="E188" s="145" t="n">
        <v>72</v>
      </c>
      <c r="F188" s="145" t="n">
        <v>72</v>
      </c>
      <c r="G188" s="146" t="s">
        <v>236</v>
      </c>
    </row>
    <row r="189" customFormat="false" ht="15.75" hidden="false" customHeight="true" outlineLevel="0" collapsed="false">
      <c r="A189" s="144" t="s">
        <v>825</v>
      </c>
      <c r="B189" s="144"/>
      <c r="C189" s="144" t="s">
        <v>630</v>
      </c>
      <c r="D189" s="146" t="s">
        <v>630</v>
      </c>
      <c r="E189" s="145" t="n">
        <v>38</v>
      </c>
      <c r="F189" s="145" t="n">
        <v>96</v>
      </c>
      <c r="G189" s="146" t="s">
        <v>236</v>
      </c>
    </row>
    <row r="190" customFormat="false" ht="15.75" hidden="false" customHeight="true" outlineLevel="0" collapsed="false">
      <c r="A190" s="144" t="s">
        <v>826</v>
      </c>
      <c r="B190" s="144"/>
      <c r="C190" s="144" t="s">
        <v>630</v>
      </c>
      <c r="D190" s="146" t="s">
        <v>630</v>
      </c>
      <c r="E190" s="145" t="n">
        <v>38</v>
      </c>
      <c r="F190" s="145" t="n">
        <v>96</v>
      </c>
      <c r="G190" s="146" t="s">
        <v>236</v>
      </c>
    </row>
    <row r="191" customFormat="false" ht="15.75" hidden="false" customHeight="true" outlineLevel="0" collapsed="false">
      <c r="A191" s="144" t="s">
        <v>827</v>
      </c>
      <c r="B191" s="144" t="s">
        <v>828</v>
      </c>
      <c r="C191" s="144"/>
      <c r="D191" s="146" t="s">
        <v>828</v>
      </c>
      <c r="E191" s="145" t="n">
        <v>21</v>
      </c>
      <c r="F191" s="145" t="n">
        <v>498</v>
      </c>
      <c r="G191" s="146" t="s">
        <v>236</v>
      </c>
    </row>
    <row r="192" customFormat="false" ht="15.75" hidden="false" customHeight="true" outlineLevel="0" collapsed="false">
      <c r="A192" s="144" t="s">
        <v>829</v>
      </c>
      <c r="B192" s="144" t="s">
        <v>830</v>
      </c>
      <c r="C192" s="144"/>
      <c r="D192" s="146" t="s">
        <v>830</v>
      </c>
      <c r="E192" s="145" t="n">
        <v>49</v>
      </c>
      <c r="F192" s="145" t="n">
        <v>112</v>
      </c>
      <c r="G192" s="146" t="s">
        <v>236</v>
      </c>
    </row>
    <row r="193" customFormat="false" ht="15.75" hidden="false" customHeight="true" outlineLevel="0" collapsed="false">
      <c r="A193" s="144" t="s">
        <v>831</v>
      </c>
      <c r="B193" s="144"/>
      <c r="C193" s="144" t="s">
        <v>630</v>
      </c>
      <c r="D193" s="146" t="s">
        <v>630</v>
      </c>
      <c r="E193" s="145" t="n">
        <v>38</v>
      </c>
      <c r="F193" s="145" t="n">
        <v>96</v>
      </c>
      <c r="G193" s="146" t="s">
        <v>236</v>
      </c>
    </row>
    <row r="194" customFormat="false" ht="15.75" hidden="false" customHeight="true" outlineLevel="0" collapsed="false">
      <c r="A194" s="144" t="s">
        <v>832</v>
      </c>
      <c r="B194" s="233" t="s">
        <v>833</v>
      </c>
      <c r="C194" s="144"/>
      <c r="D194" s="146" t="s">
        <v>833</v>
      </c>
      <c r="E194" s="145" t="n">
        <v>3</v>
      </c>
      <c r="F194" s="145" t="n">
        <v>4</v>
      </c>
      <c r="G194" s="146" t="s">
        <v>236</v>
      </c>
    </row>
    <row r="195" customFormat="false" ht="15.75" hidden="false" customHeight="true" outlineLevel="0" collapsed="false">
      <c r="A195" s="144" t="s">
        <v>834</v>
      </c>
      <c r="B195" s="144"/>
      <c r="C195" s="144" t="s">
        <v>630</v>
      </c>
      <c r="D195" s="146" t="s">
        <v>630</v>
      </c>
      <c r="E195" s="145" t="n">
        <v>38</v>
      </c>
      <c r="F195" s="145" t="n">
        <v>96</v>
      </c>
      <c r="G195" s="146" t="s">
        <v>236</v>
      </c>
    </row>
    <row r="196" customFormat="false" ht="15.75" hidden="false" customHeight="true" outlineLevel="0" collapsed="false">
      <c r="A196" s="144" t="s">
        <v>835</v>
      </c>
      <c r="B196" s="144" t="s">
        <v>836</v>
      </c>
      <c r="C196" s="144"/>
      <c r="D196" s="146" t="s">
        <v>836</v>
      </c>
      <c r="E196" s="145" t="n">
        <v>195</v>
      </c>
      <c r="F196" s="145" t="n">
        <v>195</v>
      </c>
      <c r="G196" s="146" t="s">
        <v>236</v>
      </c>
    </row>
    <row r="197" customFormat="false" ht="15.75" hidden="false" customHeight="true" outlineLevel="0" collapsed="false">
      <c r="A197" s="144" t="s">
        <v>837</v>
      </c>
      <c r="B197" s="144"/>
      <c r="C197" s="144" t="s">
        <v>630</v>
      </c>
      <c r="D197" s="146" t="s">
        <v>630</v>
      </c>
      <c r="E197" s="145" t="n">
        <v>38</v>
      </c>
      <c r="F197" s="145" t="n">
        <v>96</v>
      </c>
      <c r="G197" s="146" t="s">
        <v>236</v>
      </c>
    </row>
    <row r="198" customFormat="false" ht="15.75" hidden="false" customHeight="true" outlineLevel="0" collapsed="false">
      <c r="A198" s="144" t="s">
        <v>838</v>
      </c>
      <c r="B198" s="144"/>
      <c r="C198" s="144" t="s">
        <v>630</v>
      </c>
      <c r="D198" s="146" t="s">
        <v>630</v>
      </c>
      <c r="E198" s="145" t="n">
        <v>38</v>
      </c>
      <c r="F198" s="145" t="n">
        <v>96</v>
      </c>
      <c r="G198" s="146" t="s">
        <v>236</v>
      </c>
    </row>
    <row r="199" customFormat="false" ht="15.75" hidden="false" customHeight="true" outlineLevel="0" collapsed="false">
      <c r="A199" s="144" t="s">
        <v>839</v>
      </c>
      <c r="B199" s="144"/>
      <c r="C199" s="144" t="s">
        <v>630</v>
      </c>
      <c r="D199" s="146" t="s">
        <v>630</v>
      </c>
      <c r="E199" s="145" t="n">
        <v>38</v>
      </c>
      <c r="F199" s="145" t="n">
        <v>96</v>
      </c>
      <c r="G199" s="146" t="s">
        <v>236</v>
      </c>
    </row>
    <row r="200" customFormat="false" ht="15.75" hidden="false" customHeight="true" outlineLevel="0" collapsed="false">
      <c r="A200" s="144" t="s">
        <v>840</v>
      </c>
      <c r="B200" s="144" t="s">
        <v>841</v>
      </c>
      <c r="C200" s="144"/>
      <c r="D200" s="146" t="s">
        <v>841</v>
      </c>
      <c r="E200" s="145" t="n">
        <v>1562</v>
      </c>
      <c r="F200" s="145" t="n">
        <v>2130</v>
      </c>
      <c r="G200" s="146" t="s">
        <v>236</v>
      </c>
    </row>
    <row r="201" customFormat="false" ht="15.75" hidden="false" customHeight="true" outlineLevel="0" collapsed="false">
      <c r="A201" s="144" t="s">
        <v>842</v>
      </c>
      <c r="B201" s="144"/>
      <c r="C201" s="144" t="s">
        <v>630</v>
      </c>
      <c r="D201" s="146" t="s">
        <v>630</v>
      </c>
      <c r="E201" s="145" t="n">
        <v>38</v>
      </c>
      <c r="F201" s="145" t="n">
        <v>96</v>
      </c>
      <c r="G201" s="146" t="s">
        <v>236</v>
      </c>
    </row>
    <row r="202" customFormat="false" ht="15.75" hidden="false" customHeight="true" outlineLevel="0" collapsed="false">
      <c r="A202" s="144" t="s">
        <v>843</v>
      </c>
      <c r="B202" s="144" t="s">
        <v>844</v>
      </c>
      <c r="C202" s="144"/>
      <c r="D202" s="146" t="s">
        <v>844</v>
      </c>
      <c r="E202" s="145" t="n">
        <v>20</v>
      </c>
      <c r="F202" s="145" t="n">
        <v>28</v>
      </c>
      <c r="G202" s="146" t="s">
        <v>236</v>
      </c>
    </row>
    <row r="203" customFormat="false" ht="15.75" hidden="false" customHeight="true" outlineLevel="0" collapsed="false">
      <c r="A203" s="144" t="s">
        <v>845</v>
      </c>
      <c r="B203" s="144"/>
      <c r="C203" s="144" t="s">
        <v>630</v>
      </c>
      <c r="D203" s="146" t="s">
        <v>630</v>
      </c>
      <c r="E203" s="145" t="n">
        <v>38</v>
      </c>
      <c r="F203" s="145" t="n">
        <v>96</v>
      </c>
      <c r="G203" s="146" t="s">
        <v>236</v>
      </c>
    </row>
    <row r="204" customFormat="false" ht="15.75" hidden="false" customHeight="true" outlineLevel="0" collapsed="false">
      <c r="A204" s="144" t="s">
        <v>846</v>
      </c>
      <c r="B204" s="144"/>
      <c r="C204" s="144" t="s">
        <v>630</v>
      </c>
      <c r="D204" s="146" t="s">
        <v>630</v>
      </c>
      <c r="E204" s="145" t="n">
        <v>38</v>
      </c>
      <c r="F204" s="145" t="n">
        <v>96</v>
      </c>
      <c r="G204" s="146" t="s">
        <v>236</v>
      </c>
    </row>
    <row r="205" customFormat="false" ht="15.75" hidden="false" customHeight="true" outlineLevel="0" collapsed="false">
      <c r="A205" s="144" t="s">
        <v>847</v>
      </c>
      <c r="B205" s="144"/>
      <c r="C205" s="144" t="s">
        <v>630</v>
      </c>
      <c r="D205" s="146" t="s">
        <v>630</v>
      </c>
      <c r="E205" s="145" t="n">
        <v>38</v>
      </c>
      <c r="F205" s="145" t="n">
        <v>96</v>
      </c>
      <c r="G205" s="146" t="s">
        <v>236</v>
      </c>
    </row>
    <row r="206" customFormat="false" ht="15.75" hidden="false" customHeight="true" outlineLevel="0" collapsed="false">
      <c r="A206" s="144" t="s">
        <v>848</v>
      </c>
      <c r="B206" s="144"/>
      <c r="C206" s="144" t="s">
        <v>630</v>
      </c>
      <c r="D206" s="146" t="s">
        <v>630</v>
      </c>
      <c r="E206" s="145" t="n">
        <v>38</v>
      </c>
      <c r="F206" s="145" t="n">
        <v>96</v>
      </c>
      <c r="G206" s="146" t="s">
        <v>236</v>
      </c>
    </row>
    <row r="207" customFormat="false" ht="15.75" hidden="false" customHeight="true" outlineLevel="0" collapsed="false">
      <c r="A207" s="144" t="s">
        <v>849</v>
      </c>
      <c r="B207" s="144" t="s">
        <v>850</v>
      </c>
      <c r="C207" s="144"/>
      <c r="D207" s="146" t="s">
        <v>850</v>
      </c>
      <c r="E207" s="145" t="n">
        <v>90</v>
      </c>
      <c r="F207" s="145" t="n">
        <v>757</v>
      </c>
      <c r="G207" s="146" t="s">
        <v>236</v>
      </c>
    </row>
    <row r="208" customFormat="false" ht="15.75" hidden="false" customHeight="true" outlineLevel="0" collapsed="false">
      <c r="A208" s="144" t="s">
        <v>851</v>
      </c>
      <c r="B208" s="144" t="s">
        <v>677</v>
      </c>
      <c r="C208" s="144"/>
      <c r="D208" s="146" t="s">
        <v>677</v>
      </c>
      <c r="E208" s="145" t="n">
        <v>455</v>
      </c>
      <c r="F208" s="145" t="n">
        <v>500</v>
      </c>
      <c r="G208" s="146" t="s">
        <v>236</v>
      </c>
    </row>
    <row r="209" customFormat="false" ht="15.75" hidden="false" customHeight="true" outlineLevel="0" collapsed="false">
      <c r="A209" s="144" t="s">
        <v>852</v>
      </c>
      <c r="B209" s="144"/>
      <c r="C209" s="144" t="s">
        <v>630</v>
      </c>
      <c r="D209" s="146" t="s">
        <v>630</v>
      </c>
      <c r="E209" s="145" t="n">
        <v>38</v>
      </c>
      <c r="F209" s="145" t="n">
        <v>96</v>
      </c>
      <c r="G209" s="146" t="s">
        <v>236</v>
      </c>
    </row>
    <row r="210" customFormat="false" ht="15.75" hidden="false" customHeight="true" outlineLevel="0" collapsed="false">
      <c r="A210" s="144" t="s">
        <v>853</v>
      </c>
      <c r="B210" s="144"/>
      <c r="C210" s="144" t="s">
        <v>630</v>
      </c>
      <c r="D210" s="146" t="s">
        <v>630</v>
      </c>
      <c r="E210" s="145" t="n">
        <v>38</v>
      </c>
      <c r="F210" s="145" t="n">
        <v>96</v>
      </c>
      <c r="G210" s="146" t="s">
        <v>236</v>
      </c>
    </row>
    <row r="211" customFormat="false" ht="15.75" hidden="false" customHeight="true" outlineLevel="0" collapsed="false">
      <c r="A211" s="144" t="s">
        <v>555</v>
      </c>
      <c r="B211" s="144" t="s">
        <v>854</v>
      </c>
      <c r="C211" s="144"/>
      <c r="D211" s="146" t="s">
        <v>854</v>
      </c>
      <c r="E211" s="145" t="n">
        <v>5411</v>
      </c>
      <c r="F211" s="145" t="n">
        <v>8249</v>
      </c>
      <c r="G211" s="146" t="s">
        <v>236</v>
      </c>
    </row>
    <row r="212" customFormat="false" ht="15.75" hidden="false" customHeight="true" outlineLevel="0" collapsed="false">
      <c r="A212" s="144" t="s">
        <v>855</v>
      </c>
      <c r="B212" s="144" t="s">
        <v>856</v>
      </c>
      <c r="C212" s="144"/>
      <c r="D212" s="146" t="s">
        <v>856</v>
      </c>
      <c r="E212" s="145" t="n">
        <v>29</v>
      </c>
      <c r="F212" s="145" t="n">
        <v>40</v>
      </c>
      <c r="G212" s="146" t="s">
        <v>236</v>
      </c>
    </row>
    <row r="213" customFormat="false" ht="15.75" hidden="false" customHeight="true" outlineLevel="0" collapsed="false">
      <c r="A213" s="144" t="s">
        <v>857</v>
      </c>
      <c r="B213" s="144" t="s">
        <v>858</v>
      </c>
      <c r="C213" s="144"/>
      <c r="D213" s="146" t="s">
        <v>858</v>
      </c>
      <c r="E213" s="145" t="n">
        <v>697</v>
      </c>
      <c r="F213" s="145" t="n">
        <v>748</v>
      </c>
      <c r="G213" s="146" t="s">
        <v>236</v>
      </c>
    </row>
    <row r="214" customFormat="false" ht="15.75" hidden="false" customHeight="true" outlineLevel="0" collapsed="false">
      <c r="A214" s="144" t="s">
        <v>859</v>
      </c>
      <c r="B214" s="144" t="s">
        <v>860</v>
      </c>
      <c r="C214" s="144"/>
      <c r="D214" s="146" t="s">
        <v>860</v>
      </c>
      <c r="E214" s="145" t="n">
        <v>730</v>
      </c>
      <c r="F214" s="145" t="n">
        <v>730</v>
      </c>
      <c r="G214" s="146" t="s">
        <v>236</v>
      </c>
    </row>
    <row r="215" customFormat="false" ht="15.75" hidden="false" customHeight="true" outlineLevel="0" collapsed="false">
      <c r="A215" s="144" t="s">
        <v>861</v>
      </c>
      <c r="B215" s="144" t="s">
        <v>862</v>
      </c>
      <c r="C215" s="144"/>
      <c r="D215" s="146" t="s">
        <v>862</v>
      </c>
      <c r="E215" s="145" t="n">
        <v>109</v>
      </c>
      <c r="F215" s="145" t="n">
        <v>1284</v>
      </c>
      <c r="G215" s="146" t="s">
        <v>236</v>
      </c>
    </row>
    <row r="216" customFormat="false" ht="15.75" hidden="false" customHeight="true" outlineLevel="0" collapsed="false">
      <c r="A216" s="144" t="s">
        <v>863</v>
      </c>
      <c r="B216" s="144"/>
      <c r="C216" s="144" t="s">
        <v>630</v>
      </c>
      <c r="D216" s="146" t="s">
        <v>630</v>
      </c>
      <c r="E216" s="145" t="n">
        <v>38</v>
      </c>
      <c r="F216" s="145" t="n">
        <v>96</v>
      </c>
      <c r="G216" s="146" t="s">
        <v>236</v>
      </c>
    </row>
    <row r="217" customFormat="false" ht="15.75" hidden="false" customHeight="true" outlineLevel="0" collapsed="false">
      <c r="A217" s="144" t="s">
        <v>864</v>
      </c>
      <c r="B217" s="144"/>
      <c r="C217" s="144" t="s">
        <v>630</v>
      </c>
      <c r="D217" s="146" t="s">
        <v>630</v>
      </c>
      <c r="E217" s="145" t="n">
        <v>38</v>
      </c>
      <c r="F217" s="145" t="n">
        <v>96</v>
      </c>
      <c r="G217" s="146" t="s">
        <v>236</v>
      </c>
    </row>
    <row r="218" customFormat="false" ht="15.75" hidden="false" customHeight="true" outlineLevel="0" collapsed="false">
      <c r="A218" s="144" t="s">
        <v>865</v>
      </c>
      <c r="B218" s="144" t="s">
        <v>866</v>
      </c>
      <c r="C218" s="144"/>
      <c r="D218" s="146" t="s">
        <v>866</v>
      </c>
      <c r="E218" s="145" t="n">
        <v>3600</v>
      </c>
      <c r="F218" s="145" t="n">
        <v>3600</v>
      </c>
      <c r="G218" s="146" t="s">
        <v>236</v>
      </c>
    </row>
    <row r="219" customFormat="false" ht="15.75" hidden="false" customHeight="true" outlineLevel="0" collapsed="false">
      <c r="A219" s="144" t="s">
        <v>867</v>
      </c>
      <c r="B219" s="144"/>
      <c r="C219" s="144" t="s">
        <v>630</v>
      </c>
      <c r="D219" s="146" t="s">
        <v>630</v>
      </c>
      <c r="E219" s="145" t="n">
        <v>38</v>
      </c>
      <c r="F219" s="145" t="n">
        <v>96</v>
      </c>
      <c r="G219" s="146" t="s">
        <v>236</v>
      </c>
    </row>
    <row r="220" customFormat="false" ht="15.75" hidden="false" customHeight="true" outlineLevel="0" collapsed="false">
      <c r="A220" s="144" t="s">
        <v>868</v>
      </c>
      <c r="B220" s="144"/>
      <c r="C220" s="144" t="s">
        <v>630</v>
      </c>
      <c r="D220" s="146" t="s">
        <v>630</v>
      </c>
      <c r="E220" s="145" t="n">
        <v>38</v>
      </c>
      <c r="F220" s="145" t="n">
        <v>96</v>
      </c>
      <c r="G220" s="146" t="s">
        <v>236</v>
      </c>
    </row>
    <row r="221" customFormat="false" ht="15.75" hidden="false" customHeight="true" outlineLevel="0" collapsed="false">
      <c r="A221" s="144" t="s">
        <v>869</v>
      </c>
      <c r="B221" s="144"/>
      <c r="C221" s="144" t="s">
        <v>630</v>
      </c>
      <c r="D221" s="146" t="s">
        <v>630</v>
      </c>
      <c r="E221" s="145" t="n">
        <v>38</v>
      </c>
      <c r="F221" s="145" t="n">
        <v>96</v>
      </c>
      <c r="G221" s="146" t="s">
        <v>236</v>
      </c>
    </row>
    <row r="222" customFormat="false" ht="15.75" hidden="false" customHeight="true" outlineLevel="0" collapsed="false">
      <c r="A222" s="144" t="s">
        <v>870</v>
      </c>
      <c r="B222" s="144" t="s">
        <v>871</v>
      </c>
      <c r="C222" s="144"/>
      <c r="D222" s="146" t="s">
        <v>871</v>
      </c>
      <c r="E222" s="145" t="n">
        <v>122</v>
      </c>
      <c r="F222" s="145" t="n">
        <v>165</v>
      </c>
      <c r="G222" s="146" t="s">
        <v>236</v>
      </c>
    </row>
    <row r="223" customFormat="false" ht="15.75" hidden="false" customHeight="true" outlineLevel="0" collapsed="false">
      <c r="A223" s="144" t="s">
        <v>872</v>
      </c>
      <c r="B223" s="144"/>
      <c r="C223" s="144" t="s">
        <v>630</v>
      </c>
      <c r="D223" s="146" t="s">
        <v>630</v>
      </c>
      <c r="E223" s="145" t="n">
        <v>38</v>
      </c>
      <c r="F223" s="145" t="n">
        <v>96</v>
      </c>
      <c r="G223" s="146" t="s">
        <v>236</v>
      </c>
    </row>
    <row r="224" customFormat="false" ht="15.75" hidden="false" customHeight="true" outlineLevel="0" collapsed="false">
      <c r="A224" s="144" t="s">
        <v>873</v>
      </c>
      <c r="B224" s="144"/>
      <c r="C224" s="144" t="s">
        <v>630</v>
      </c>
      <c r="D224" s="146" t="s">
        <v>630</v>
      </c>
      <c r="E224" s="145" t="n">
        <v>38</v>
      </c>
      <c r="F224" s="145" t="n">
        <v>96</v>
      </c>
      <c r="G224" s="146" t="s">
        <v>236</v>
      </c>
    </row>
    <row r="225" customFormat="false" ht="15.75" hidden="false" customHeight="true" outlineLevel="0" collapsed="false">
      <c r="A225" s="144" t="s">
        <v>874</v>
      </c>
      <c r="B225" s="144" t="s">
        <v>666</v>
      </c>
      <c r="C225" s="144"/>
      <c r="D225" s="146" t="s">
        <v>666</v>
      </c>
      <c r="E225" s="145" t="n">
        <v>1400</v>
      </c>
      <c r="F225" s="145" t="n">
        <v>1400</v>
      </c>
      <c r="G225" s="146" t="s">
        <v>236</v>
      </c>
    </row>
    <row r="226" customFormat="false" ht="15.75" hidden="false" customHeight="true" outlineLevel="0" collapsed="false">
      <c r="A226" s="144" t="s">
        <v>875</v>
      </c>
      <c r="B226" s="144" t="s">
        <v>876</v>
      </c>
      <c r="C226" s="144"/>
      <c r="D226" s="146" t="s">
        <v>876</v>
      </c>
      <c r="E226" s="145" t="n">
        <v>4000</v>
      </c>
      <c r="F226" s="145" t="n">
        <v>4000</v>
      </c>
      <c r="G226" s="146" t="s">
        <v>236</v>
      </c>
    </row>
    <row r="227" customFormat="false" ht="15.75" hidden="false" customHeight="true" outlineLevel="0" collapsed="false">
      <c r="A227" s="144" t="s">
        <v>210</v>
      </c>
      <c r="B227" s="144"/>
      <c r="C227" s="144" t="s">
        <v>630</v>
      </c>
      <c r="D227" s="146" t="s">
        <v>630</v>
      </c>
      <c r="E227" s="145" t="n">
        <v>38</v>
      </c>
      <c r="F227" s="145" t="n">
        <v>96</v>
      </c>
      <c r="G227" s="146" t="s">
        <v>236</v>
      </c>
    </row>
    <row r="228" customFormat="false" ht="15.75" hidden="false" customHeight="true" outlineLevel="0" collapsed="false">
      <c r="A228" s="144" t="s">
        <v>877</v>
      </c>
      <c r="B228" s="144" t="s">
        <v>878</v>
      </c>
      <c r="C228" s="144"/>
      <c r="D228" s="146" t="s">
        <v>878</v>
      </c>
      <c r="E228" s="145" t="n">
        <v>2289</v>
      </c>
      <c r="F228" s="145" t="n">
        <v>2289</v>
      </c>
      <c r="G228" s="146" t="s">
        <v>236</v>
      </c>
    </row>
    <row r="229" customFormat="false" ht="15.75" hidden="false" customHeight="true" outlineLevel="0" collapsed="false">
      <c r="A229" s="144" t="s">
        <v>879</v>
      </c>
      <c r="B229" s="144" t="s">
        <v>880</v>
      </c>
      <c r="C229" s="144"/>
      <c r="D229" s="146" t="s">
        <v>880</v>
      </c>
      <c r="E229" s="145" t="n">
        <v>22</v>
      </c>
      <c r="F229" s="145" t="n">
        <v>22</v>
      </c>
      <c r="G229" s="146" t="s">
        <v>236</v>
      </c>
    </row>
    <row r="230" customFormat="false" ht="15.75" hidden="false" customHeight="true" outlineLevel="0" collapsed="false">
      <c r="A230" s="144" t="s">
        <v>881</v>
      </c>
      <c r="B230" s="144"/>
      <c r="C230" s="144" t="s">
        <v>630</v>
      </c>
      <c r="D230" s="146" t="s">
        <v>630</v>
      </c>
      <c r="E230" s="145" t="n">
        <v>38</v>
      </c>
      <c r="F230" s="145" t="n">
        <v>96</v>
      </c>
      <c r="G230" s="146" t="s">
        <v>236</v>
      </c>
    </row>
    <row r="231" customFormat="false" ht="15.75" hidden="false" customHeight="true" outlineLevel="0" collapsed="false">
      <c r="A231" s="144" t="s">
        <v>882</v>
      </c>
      <c r="B231" s="144"/>
      <c r="C231" s="144" t="s">
        <v>630</v>
      </c>
      <c r="D231" s="146" t="s">
        <v>630</v>
      </c>
      <c r="E231" s="145" t="n">
        <v>38</v>
      </c>
      <c r="F231" s="145" t="n">
        <v>96</v>
      </c>
      <c r="G231" s="146" t="s">
        <v>236</v>
      </c>
    </row>
    <row r="232" customFormat="false" ht="15.75" hidden="false" customHeight="true" outlineLevel="0" collapsed="false">
      <c r="A232" s="144" t="s">
        <v>883</v>
      </c>
      <c r="B232" s="144" t="s">
        <v>884</v>
      </c>
      <c r="C232" s="144"/>
      <c r="D232" s="146" t="s">
        <v>884</v>
      </c>
      <c r="E232" s="145" t="n">
        <v>131</v>
      </c>
      <c r="F232" s="145" t="n">
        <v>260</v>
      </c>
      <c r="G232" s="146" t="s">
        <v>236</v>
      </c>
    </row>
    <row r="233" customFormat="false" ht="15.75" hidden="false" customHeight="true" outlineLevel="0" collapsed="false">
      <c r="A233" s="144" t="s">
        <v>885</v>
      </c>
      <c r="B233" s="144"/>
      <c r="C233" s="144" t="s">
        <v>630</v>
      </c>
      <c r="D233" s="146" t="s">
        <v>630</v>
      </c>
      <c r="E233" s="145" t="n">
        <v>38</v>
      </c>
      <c r="F233" s="145" t="n">
        <v>96</v>
      </c>
      <c r="G233" s="146" t="s">
        <v>236</v>
      </c>
    </row>
    <row r="234" customFormat="false" ht="15.75" hidden="false" customHeight="true" outlineLevel="0" collapsed="false">
      <c r="A234" s="144" t="s">
        <v>886</v>
      </c>
      <c r="B234" s="144"/>
      <c r="C234" s="144" t="s">
        <v>714</v>
      </c>
      <c r="D234" s="146" t="s">
        <v>714</v>
      </c>
      <c r="E234" s="145" t="n">
        <v>5950</v>
      </c>
      <c r="F234" s="145" t="n">
        <v>10539</v>
      </c>
      <c r="G234" s="146" t="s">
        <v>236</v>
      </c>
    </row>
    <row r="235" customFormat="false" ht="15.75" hidden="false" customHeight="true" outlineLevel="0" collapsed="false">
      <c r="A235" s="144" t="s">
        <v>887</v>
      </c>
      <c r="B235" s="144" t="s">
        <v>888</v>
      </c>
      <c r="C235" s="144"/>
      <c r="D235" s="146" t="s">
        <v>888</v>
      </c>
      <c r="E235" s="145" t="n">
        <v>180000</v>
      </c>
      <c r="F235" s="145" t="n">
        <v>180000</v>
      </c>
      <c r="G235" s="146" t="s">
        <v>236</v>
      </c>
    </row>
    <row r="236" customFormat="false" ht="15.75" hidden="false" customHeight="true" outlineLevel="0" collapsed="false">
      <c r="A236" s="144" t="s">
        <v>889</v>
      </c>
      <c r="B236" s="144" t="s">
        <v>890</v>
      </c>
      <c r="C236" s="144"/>
      <c r="D236" s="146" t="s">
        <v>890</v>
      </c>
      <c r="E236" s="145" t="n">
        <v>58</v>
      </c>
      <c r="F236" s="145" t="n">
        <v>112</v>
      </c>
      <c r="G236" s="146" t="s">
        <v>236</v>
      </c>
    </row>
    <row r="237" customFormat="false" ht="15.75" hidden="false" customHeight="true" outlineLevel="0" collapsed="false">
      <c r="A237" s="144" t="s">
        <v>891</v>
      </c>
      <c r="B237" s="144" t="s">
        <v>892</v>
      </c>
      <c r="C237" s="144"/>
      <c r="D237" s="146" t="s">
        <v>892</v>
      </c>
      <c r="E237" s="145" t="n">
        <v>56</v>
      </c>
      <c r="F237" s="145" t="n">
        <v>1079</v>
      </c>
      <c r="G237" s="146" t="s">
        <v>236</v>
      </c>
    </row>
    <row r="238" customFormat="false" ht="15.75" hidden="false" customHeight="true" outlineLevel="0" collapsed="false">
      <c r="A238" s="144" t="s">
        <v>893</v>
      </c>
      <c r="B238" s="144"/>
      <c r="C238" s="144" t="s">
        <v>630</v>
      </c>
      <c r="D238" s="146" t="s">
        <v>630</v>
      </c>
      <c r="E238" s="145" t="n">
        <v>38</v>
      </c>
      <c r="F238" s="145" t="n">
        <v>96</v>
      </c>
      <c r="G238" s="146" t="s">
        <v>236</v>
      </c>
    </row>
    <row r="239" customFormat="false" ht="15.75" hidden="false" customHeight="true" outlineLevel="0" collapsed="false">
      <c r="A239" s="144" t="s">
        <v>894</v>
      </c>
      <c r="B239" s="144"/>
      <c r="C239" s="144" t="s">
        <v>714</v>
      </c>
      <c r="D239" s="146" t="s">
        <v>714</v>
      </c>
      <c r="E239" s="145" t="n">
        <v>5950</v>
      </c>
      <c r="F239" s="145" t="n">
        <v>10539</v>
      </c>
      <c r="G239" s="146" t="s">
        <v>236</v>
      </c>
    </row>
    <row r="240" customFormat="false" ht="15.75" hidden="false" customHeight="true" outlineLevel="0" collapsed="false">
      <c r="A240" s="144" t="s">
        <v>895</v>
      </c>
      <c r="B240" s="144" t="s">
        <v>896</v>
      </c>
      <c r="C240" s="144"/>
      <c r="D240" s="146" t="s">
        <v>896</v>
      </c>
      <c r="E240" s="145" t="n">
        <v>23</v>
      </c>
      <c r="F240" s="145" t="n">
        <v>971</v>
      </c>
      <c r="G240" s="146" t="s">
        <v>236</v>
      </c>
    </row>
    <row r="241" customFormat="false" ht="15.75" hidden="false" customHeight="true" outlineLevel="0" collapsed="false">
      <c r="A241" s="144" t="s">
        <v>897</v>
      </c>
      <c r="B241" s="144"/>
      <c r="C241" s="144" t="s">
        <v>630</v>
      </c>
      <c r="D241" s="146" t="s">
        <v>630</v>
      </c>
      <c r="E241" s="145" t="n">
        <v>38</v>
      </c>
      <c r="F241" s="145" t="n">
        <v>96</v>
      </c>
      <c r="G241" s="146" t="s">
        <v>236</v>
      </c>
    </row>
    <row r="242" customFormat="false" ht="15.75" hidden="false" customHeight="true" outlineLevel="0" collapsed="false">
      <c r="A242" s="144" t="s">
        <v>898</v>
      </c>
      <c r="B242" s="144" t="s">
        <v>615</v>
      </c>
      <c r="C242" s="144"/>
      <c r="D242" s="146" t="s">
        <v>615</v>
      </c>
      <c r="E242" s="145" t="n">
        <v>5000</v>
      </c>
      <c r="F242" s="145" t="n">
        <v>20000</v>
      </c>
      <c r="G242" s="146" t="s">
        <v>236</v>
      </c>
    </row>
    <row r="243" customFormat="false" ht="15.75" hidden="false" customHeight="true" outlineLevel="0" collapsed="false">
      <c r="A243" s="144" t="s">
        <v>899</v>
      </c>
      <c r="B243" s="144" t="s">
        <v>900</v>
      </c>
      <c r="C243" s="144"/>
      <c r="D243" s="146" t="s">
        <v>900</v>
      </c>
      <c r="E243" s="145" t="n">
        <v>23</v>
      </c>
      <c r="F243" s="145" t="n">
        <v>28</v>
      </c>
      <c r="G243" s="146" t="s">
        <v>236</v>
      </c>
    </row>
    <row r="244" customFormat="false" ht="15.75" hidden="false" customHeight="true" outlineLevel="0" collapsed="false">
      <c r="A244" s="144" t="s">
        <v>901</v>
      </c>
      <c r="B244" s="144"/>
      <c r="C244" s="144" t="s">
        <v>630</v>
      </c>
      <c r="D244" s="146" t="s">
        <v>630</v>
      </c>
      <c r="E244" s="145" t="n">
        <v>38</v>
      </c>
      <c r="F244" s="145" t="n">
        <v>96</v>
      </c>
      <c r="G244" s="146" t="s">
        <v>236</v>
      </c>
    </row>
    <row r="245" customFormat="false" ht="15.75" hidden="false" customHeight="true" outlineLevel="0" collapsed="false">
      <c r="A245" s="144" t="s">
        <v>902</v>
      </c>
      <c r="B245" s="144"/>
      <c r="C245" s="144" t="s">
        <v>630</v>
      </c>
      <c r="D245" s="146" t="s">
        <v>630</v>
      </c>
      <c r="E245" s="145" t="n">
        <v>38</v>
      </c>
      <c r="F245" s="145" t="n">
        <v>96</v>
      </c>
      <c r="G245" s="146" t="s">
        <v>236</v>
      </c>
    </row>
    <row r="246" customFormat="false" ht="15.75" hidden="false" customHeight="true" outlineLevel="0" collapsed="false">
      <c r="A246" s="144" t="s">
        <v>903</v>
      </c>
      <c r="B246" s="144"/>
      <c r="C246" s="144" t="s">
        <v>630</v>
      </c>
      <c r="D246" s="146" t="s">
        <v>630</v>
      </c>
      <c r="E246" s="145" t="n">
        <v>38</v>
      </c>
      <c r="F246" s="145" t="n">
        <v>96</v>
      </c>
      <c r="G246" s="146" t="s">
        <v>236</v>
      </c>
    </row>
    <row r="247" customFormat="false" ht="15.75" hidden="false" customHeight="true" outlineLevel="0" collapsed="false">
      <c r="A247" s="144" t="s">
        <v>904</v>
      </c>
      <c r="B247" s="144"/>
      <c r="C247" s="144" t="s">
        <v>630</v>
      </c>
      <c r="D247" s="146" t="s">
        <v>630</v>
      </c>
      <c r="E247" s="145" t="n">
        <v>38</v>
      </c>
      <c r="F247" s="145" t="n">
        <v>96</v>
      </c>
      <c r="G247" s="146" t="s">
        <v>236</v>
      </c>
    </row>
    <row r="248" customFormat="false" ht="15.75" hidden="false" customHeight="true" outlineLevel="0" collapsed="false">
      <c r="A248" s="144" t="s">
        <v>905</v>
      </c>
      <c r="B248" s="144" t="s">
        <v>906</v>
      </c>
      <c r="C248" s="144"/>
      <c r="D248" s="146" t="s">
        <v>906</v>
      </c>
      <c r="E248" s="145" t="n">
        <v>7</v>
      </c>
      <c r="F248" s="145" t="n">
        <v>313</v>
      </c>
      <c r="G248" s="146" t="s">
        <v>236</v>
      </c>
    </row>
    <row r="249" customFormat="false" ht="15.75" hidden="false" customHeight="true" outlineLevel="0" collapsed="false">
      <c r="A249" s="144" t="s">
        <v>907</v>
      </c>
      <c r="B249" s="144" t="s">
        <v>908</v>
      </c>
      <c r="C249" s="144"/>
      <c r="D249" s="146" t="s">
        <v>908</v>
      </c>
      <c r="E249" s="145" t="n">
        <v>21</v>
      </c>
      <c r="F249" s="145" t="n">
        <v>10000</v>
      </c>
      <c r="G249" s="146" t="s">
        <v>236</v>
      </c>
    </row>
    <row r="250" customFormat="false" ht="15.75" hidden="false" customHeight="true" outlineLevel="0" collapsed="false">
      <c r="A250" s="144" t="s">
        <v>909</v>
      </c>
      <c r="B250" s="144" t="s">
        <v>910</v>
      </c>
      <c r="C250" s="144"/>
      <c r="D250" s="146" t="s">
        <v>910</v>
      </c>
      <c r="E250" s="145" t="n">
        <v>1818</v>
      </c>
      <c r="F250" s="145" t="n">
        <v>5000</v>
      </c>
      <c r="G250" s="146" t="s">
        <v>236</v>
      </c>
    </row>
    <row r="251" customFormat="false" ht="15.75" hidden="false" customHeight="true" outlineLevel="0" collapsed="false">
      <c r="A251" s="144" t="s">
        <v>911</v>
      </c>
      <c r="B251" s="144" t="s">
        <v>912</v>
      </c>
      <c r="C251" s="144"/>
      <c r="D251" s="146" t="s">
        <v>912</v>
      </c>
      <c r="E251" s="145" t="n">
        <v>16</v>
      </c>
      <c r="F251" s="145" t="n">
        <v>19</v>
      </c>
      <c r="G251" s="146" t="s">
        <v>236</v>
      </c>
    </row>
    <row r="252" customFormat="false" ht="15.75" hidden="false" customHeight="true" outlineLevel="0" collapsed="false">
      <c r="A252" s="144" t="s">
        <v>913</v>
      </c>
      <c r="B252" s="144"/>
      <c r="C252" s="144" t="s">
        <v>630</v>
      </c>
      <c r="D252" s="146" t="s">
        <v>630</v>
      </c>
      <c r="E252" s="145" t="n">
        <v>38</v>
      </c>
      <c r="F252" s="145" t="n">
        <v>96</v>
      </c>
      <c r="G252" s="146" t="s">
        <v>236</v>
      </c>
    </row>
    <row r="253" customFormat="false" ht="15.75" hidden="false" customHeight="true" outlineLevel="0" collapsed="false">
      <c r="A253" s="144" t="s">
        <v>584</v>
      </c>
      <c r="B253" s="144" t="s">
        <v>914</v>
      </c>
      <c r="C253" s="144"/>
      <c r="D253" s="146" t="s">
        <v>914</v>
      </c>
      <c r="E253" s="145" t="n">
        <v>154</v>
      </c>
      <c r="F253" s="145" t="n">
        <v>154</v>
      </c>
      <c r="G253" s="146" t="s">
        <v>236</v>
      </c>
    </row>
    <row r="254" customFormat="false" ht="15.75" hidden="false" customHeight="true" outlineLevel="0" collapsed="false">
      <c r="A254" s="144" t="s">
        <v>915</v>
      </c>
      <c r="B254" s="144"/>
      <c r="C254" s="144" t="s">
        <v>630</v>
      </c>
      <c r="D254" s="146" t="s">
        <v>630</v>
      </c>
      <c r="E254" s="145" t="n">
        <v>38</v>
      </c>
      <c r="F254" s="145" t="n">
        <v>96</v>
      </c>
      <c r="G254" s="146" t="s">
        <v>236</v>
      </c>
    </row>
    <row r="255" customFormat="false" ht="15.75" hidden="false" customHeight="true" outlineLevel="0" collapsed="false">
      <c r="A255" s="144" t="s">
        <v>916</v>
      </c>
      <c r="B255" s="144" t="s">
        <v>917</v>
      </c>
      <c r="C255" s="144"/>
      <c r="D255" s="146" t="s">
        <v>917</v>
      </c>
      <c r="E255" s="145" t="n">
        <v>10</v>
      </c>
      <c r="F255" s="145" t="n">
        <v>45</v>
      </c>
      <c r="G255" s="146" t="s">
        <v>236</v>
      </c>
    </row>
    <row r="256" customFormat="false" ht="15.75" hidden="false" customHeight="true" outlineLevel="0" collapsed="false">
      <c r="A256" s="144" t="s">
        <v>918</v>
      </c>
      <c r="B256" s="144"/>
      <c r="C256" s="144" t="s">
        <v>630</v>
      </c>
      <c r="D256" s="146" t="s">
        <v>630</v>
      </c>
      <c r="E256" s="145" t="n">
        <v>38</v>
      </c>
      <c r="F256" s="145" t="n">
        <v>96</v>
      </c>
      <c r="G256" s="146" t="s">
        <v>236</v>
      </c>
    </row>
    <row r="257" customFormat="false" ht="15.75" hidden="false" customHeight="true" outlineLevel="0" collapsed="false">
      <c r="A257" s="144" t="s">
        <v>919</v>
      </c>
      <c r="B257" s="144" t="s">
        <v>920</v>
      </c>
      <c r="C257" s="144"/>
      <c r="D257" s="146" t="s">
        <v>920</v>
      </c>
      <c r="E257" s="145" t="n">
        <v>30000</v>
      </c>
      <c r="F257" s="145" t="n">
        <v>30000</v>
      </c>
      <c r="G257" s="146" t="s">
        <v>236</v>
      </c>
    </row>
    <row r="258" customFormat="false" ht="15.75" hidden="false" customHeight="true" outlineLevel="0" collapsed="false">
      <c r="A258" s="144" t="s">
        <v>921</v>
      </c>
      <c r="B258" s="144" t="s">
        <v>922</v>
      </c>
      <c r="C258" s="144"/>
      <c r="D258" s="146" t="s">
        <v>922</v>
      </c>
      <c r="E258" s="145" t="n">
        <v>13640</v>
      </c>
      <c r="F258" s="145" t="n">
        <v>27270</v>
      </c>
      <c r="G258" s="146" t="s">
        <v>236</v>
      </c>
    </row>
    <row r="259" customFormat="false" ht="15.75" hidden="false" customHeight="true" outlineLevel="0" collapsed="false">
      <c r="A259" s="144" t="s">
        <v>923</v>
      </c>
      <c r="B259" s="144"/>
      <c r="C259" s="144" t="s">
        <v>630</v>
      </c>
      <c r="D259" s="146" t="s">
        <v>630</v>
      </c>
      <c r="E259" s="145" t="n">
        <v>38</v>
      </c>
      <c r="F259" s="145" t="n">
        <v>96</v>
      </c>
      <c r="G259" s="146" t="s">
        <v>236</v>
      </c>
    </row>
    <row r="260" customFormat="false" ht="15.75" hidden="false" customHeight="true" outlineLevel="0" collapsed="false">
      <c r="A260" s="144" t="s">
        <v>924</v>
      </c>
      <c r="B260" s="144" t="s">
        <v>802</v>
      </c>
      <c r="C260" s="144"/>
      <c r="D260" s="146" t="s">
        <v>802</v>
      </c>
      <c r="E260" s="145" t="n">
        <v>63</v>
      </c>
      <c r="F260" s="145" t="n">
        <v>63</v>
      </c>
      <c r="G260" s="146" t="s">
        <v>236</v>
      </c>
    </row>
    <row r="261" customFormat="false" ht="15.75" hidden="false" customHeight="true" outlineLevel="0" collapsed="false">
      <c r="A261" s="144" t="s">
        <v>925</v>
      </c>
      <c r="B261" s="144"/>
      <c r="C261" s="144" t="s">
        <v>630</v>
      </c>
      <c r="D261" s="146" t="s">
        <v>630</v>
      </c>
      <c r="E261" s="145" t="n">
        <v>38</v>
      </c>
      <c r="F261" s="145" t="n">
        <v>96</v>
      </c>
      <c r="G261" s="146" t="s">
        <v>236</v>
      </c>
    </row>
    <row r="262" customFormat="false" ht="15.75" hidden="false" customHeight="true" outlineLevel="0" collapsed="false">
      <c r="A262" s="144" t="s">
        <v>926</v>
      </c>
      <c r="B262" s="144"/>
      <c r="C262" s="144" t="s">
        <v>630</v>
      </c>
      <c r="D262" s="146" t="s">
        <v>630</v>
      </c>
      <c r="E262" s="145" t="n">
        <v>38</v>
      </c>
      <c r="F262" s="145" t="n">
        <v>96</v>
      </c>
      <c r="G262" s="146" t="s">
        <v>236</v>
      </c>
    </row>
    <row r="263" customFormat="false" ht="15.75" hidden="false" customHeight="true" outlineLevel="0" collapsed="false">
      <c r="A263" s="144" t="s">
        <v>927</v>
      </c>
      <c r="B263" s="144" t="s">
        <v>928</v>
      </c>
      <c r="C263" s="144"/>
      <c r="D263" s="146" t="s">
        <v>928</v>
      </c>
      <c r="E263" s="145" t="n">
        <v>1200</v>
      </c>
      <c r="F263" s="145" t="n">
        <v>1200</v>
      </c>
      <c r="G263" s="146" t="s">
        <v>236</v>
      </c>
    </row>
    <row r="264" customFormat="false" ht="15.75" hidden="false" customHeight="true" outlineLevel="0" collapsed="false">
      <c r="A264" s="144" t="s">
        <v>929</v>
      </c>
      <c r="B264" s="144"/>
      <c r="C264" s="144" t="s">
        <v>630</v>
      </c>
      <c r="D264" s="146" t="s">
        <v>630</v>
      </c>
      <c r="E264" s="145" t="n">
        <v>38</v>
      </c>
      <c r="F264" s="145" t="n">
        <v>96</v>
      </c>
      <c r="G264" s="146" t="s">
        <v>236</v>
      </c>
    </row>
    <row r="265" customFormat="false" ht="15.75" hidden="false" customHeight="true" outlineLevel="0" collapsed="false">
      <c r="A265" s="144" t="s">
        <v>930</v>
      </c>
      <c r="B265" s="144" t="s">
        <v>931</v>
      </c>
      <c r="C265" s="144"/>
      <c r="D265" s="146" t="s">
        <v>931</v>
      </c>
      <c r="E265" s="145" t="n">
        <v>13640</v>
      </c>
      <c r="F265" s="145" t="n">
        <v>18180</v>
      </c>
      <c r="G265" s="146" t="s">
        <v>236</v>
      </c>
    </row>
    <row r="266" customFormat="false" ht="15.75" hidden="false" customHeight="true" outlineLevel="0" collapsed="false">
      <c r="A266" s="144" t="s">
        <v>932</v>
      </c>
      <c r="B266" s="144" t="s">
        <v>933</v>
      </c>
      <c r="C266" s="144"/>
      <c r="D266" s="146" t="s">
        <v>933</v>
      </c>
      <c r="E266" s="145" t="n">
        <v>29540</v>
      </c>
      <c r="F266" s="145" t="n">
        <v>36360</v>
      </c>
      <c r="G266" s="146" t="s">
        <v>236</v>
      </c>
    </row>
    <row r="267" customFormat="false" ht="15.75" hidden="false" customHeight="true" outlineLevel="0" collapsed="false">
      <c r="A267" s="144" t="s">
        <v>934</v>
      </c>
      <c r="B267" s="144" t="s">
        <v>935</v>
      </c>
      <c r="C267" s="144"/>
      <c r="D267" s="146" t="s">
        <v>935</v>
      </c>
      <c r="E267" s="145" t="n">
        <v>4500</v>
      </c>
      <c r="F267" s="145" t="n">
        <v>4500</v>
      </c>
      <c r="G267" s="146" t="s">
        <v>236</v>
      </c>
    </row>
    <row r="268" customFormat="false" ht="15.75" hidden="false" customHeight="true" outlineLevel="0" collapsed="false">
      <c r="A268" s="144" t="s">
        <v>936</v>
      </c>
      <c r="B268" s="144"/>
      <c r="C268" s="144" t="s">
        <v>630</v>
      </c>
      <c r="D268" s="146" t="s">
        <v>630</v>
      </c>
      <c r="E268" s="145" t="n">
        <v>38</v>
      </c>
      <c r="F268" s="145" t="n">
        <v>96</v>
      </c>
      <c r="G268" s="146" t="s">
        <v>236</v>
      </c>
    </row>
    <row r="269" customFormat="false" ht="15.75" hidden="false" customHeight="true" outlineLevel="0" collapsed="false">
      <c r="A269" s="144" t="s">
        <v>937</v>
      </c>
      <c r="B269" s="144"/>
      <c r="C269" s="144" t="s">
        <v>630</v>
      </c>
      <c r="D269" s="146" t="s">
        <v>630</v>
      </c>
      <c r="E269" s="145" t="n">
        <v>38</v>
      </c>
      <c r="F269" s="145" t="n">
        <v>96</v>
      </c>
      <c r="G269" s="146" t="s">
        <v>236</v>
      </c>
    </row>
    <row r="270" customFormat="false" ht="15.75" hidden="false" customHeight="true" outlineLevel="0" collapsed="false">
      <c r="A270" s="144" t="s">
        <v>938</v>
      </c>
      <c r="B270" s="144" t="s">
        <v>939</v>
      </c>
      <c r="C270" s="144"/>
      <c r="D270" s="146" t="s">
        <v>939</v>
      </c>
      <c r="E270" s="145" t="n">
        <v>941</v>
      </c>
      <c r="F270" s="145" t="n">
        <v>941</v>
      </c>
      <c r="G270" s="146" t="s">
        <v>236</v>
      </c>
    </row>
    <row r="271" customFormat="false" ht="15.75" hidden="false" customHeight="true" outlineLevel="0" collapsed="false">
      <c r="A271" s="144" t="s">
        <v>940</v>
      </c>
      <c r="B271" s="144" t="s">
        <v>941</v>
      </c>
      <c r="C271" s="144"/>
      <c r="D271" s="146" t="s">
        <v>941</v>
      </c>
      <c r="E271" s="145" t="n">
        <v>8000</v>
      </c>
      <c r="F271" s="145" t="n">
        <v>8000</v>
      </c>
      <c r="G271" s="146" t="s">
        <v>236</v>
      </c>
    </row>
    <row r="272" customFormat="false" ht="15.75" hidden="false" customHeight="true" outlineLevel="0" collapsed="false">
      <c r="A272" s="144" t="s">
        <v>942</v>
      </c>
      <c r="B272" s="144"/>
      <c r="C272" s="144" t="s">
        <v>714</v>
      </c>
      <c r="D272" s="146" t="s">
        <v>714</v>
      </c>
      <c r="E272" s="145" t="n">
        <v>5950</v>
      </c>
      <c r="F272" s="145" t="n">
        <v>10539</v>
      </c>
      <c r="G272" s="146" t="s">
        <v>236</v>
      </c>
    </row>
    <row r="273" customFormat="false" ht="15.75" hidden="false" customHeight="true" outlineLevel="0" collapsed="false">
      <c r="A273" s="144" t="s">
        <v>943</v>
      </c>
      <c r="B273" s="144"/>
      <c r="C273" s="144" t="s">
        <v>630</v>
      </c>
      <c r="D273" s="146" t="s">
        <v>630</v>
      </c>
      <c r="E273" s="145" t="n">
        <v>38</v>
      </c>
      <c r="F273" s="145" t="n">
        <v>96</v>
      </c>
      <c r="G273" s="146" t="s">
        <v>236</v>
      </c>
    </row>
    <row r="274" customFormat="false" ht="15.75" hidden="false" customHeight="true" outlineLevel="0" collapsed="false">
      <c r="A274" s="144" t="s">
        <v>944</v>
      </c>
      <c r="B274" s="144"/>
      <c r="C274" s="144" t="s">
        <v>630</v>
      </c>
      <c r="D274" s="146" t="s">
        <v>630</v>
      </c>
      <c r="E274" s="145" t="n">
        <v>38</v>
      </c>
      <c r="F274" s="145" t="n">
        <v>96</v>
      </c>
      <c r="G274" s="146" t="s">
        <v>236</v>
      </c>
    </row>
    <row r="275" customFormat="false" ht="15.75" hidden="false" customHeight="true" outlineLevel="0" collapsed="false">
      <c r="A275" s="144" t="s">
        <v>945</v>
      </c>
      <c r="B275" s="144" t="s">
        <v>946</v>
      </c>
      <c r="C275" s="144"/>
      <c r="D275" s="146" t="s">
        <v>946</v>
      </c>
      <c r="E275" s="145" t="n">
        <v>216</v>
      </c>
      <c r="F275" s="145" t="n">
        <v>216</v>
      </c>
      <c r="G275" s="146" t="s">
        <v>236</v>
      </c>
    </row>
    <row r="276" customFormat="false" ht="15.75" hidden="false" customHeight="true" outlineLevel="0" collapsed="false">
      <c r="A276" s="144" t="s">
        <v>947</v>
      </c>
      <c r="B276" s="144"/>
      <c r="C276" s="144" t="s">
        <v>630</v>
      </c>
      <c r="D276" s="146" t="s">
        <v>630</v>
      </c>
      <c r="E276" s="145" t="n">
        <v>38</v>
      </c>
      <c r="F276" s="145" t="n">
        <v>96</v>
      </c>
      <c r="G276" s="146" t="s">
        <v>236</v>
      </c>
    </row>
    <row r="277" customFormat="false" ht="15.75" hidden="false" customHeight="true" outlineLevel="0" collapsed="false">
      <c r="A277" s="144" t="s">
        <v>948</v>
      </c>
      <c r="B277" s="144"/>
      <c r="C277" s="144" t="s">
        <v>630</v>
      </c>
      <c r="D277" s="146" t="s">
        <v>630</v>
      </c>
      <c r="E277" s="145" t="n">
        <v>38</v>
      </c>
      <c r="F277" s="145" t="n">
        <v>96</v>
      </c>
      <c r="G277" s="146" t="s">
        <v>236</v>
      </c>
    </row>
    <row r="278" customFormat="false" ht="15.75" hidden="false" customHeight="true" outlineLevel="0" collapsed="false">
      <c r="A278" s="144" t="s">
        <v>949</v>
      </c>
      <c r="B278" s="144"/>
      <c r="C278" s="144" t="s">
        <v>630</v>
      </c>
      <c r="D278" s="146" t="s">
        <v>630</v>
      </c>
      <c r="E278" s="145" t="n">
        <v>38</v>
      </c>
      <c r="F278" s="145" t="n">
        <v>96</v>
      </c>
      <c r="G278" s="146" t="s">
        <v>236</v>
      </c>
    </row>
    <row r="279" customFormat="false" ht="15.75" hidden="false" customHeight="true" outlineLevel="0" collapsed="false">
      <c r="A279" s="144" t="s">
        <v>950</v>
      </c>
      <c r="B279" s="144"/>
      <c r="C279" s="144" t="s">
        <v>630</v>
      </c>
      <c r="D279" s="146" t="s">
        <v>630</v>
      </c>
      <c r="E279" s="145" t="n">
        <v>38</v>
      </c>
      <c r="F279" s="145" t="n">
        <v>96</v>
      </c>
      <c r="G279" s="146" t="s">
        <v>236</v>
      </c>
    </row>
    <row r="280" customFormat="false" ht="15.75" hidden="false" customHeight="true" outlineLevel="0" collapsed="false">
      <c r="A280" s="144" t="s">
        <v>951</v>
      </c>
      <c r="B280" s="144"/>
      <c r="C280" s="144" t="s">
        <v>630</v>
      </c>
      <c r="D280" s="146" t="s">
        <v>630</v>
      </c>
      <c r="E280" s="145" t="n">
        <v>38</v>
      </c>
      <c r="F280" s="145" t="n">
        <v>96</v>
      </c>
      <c r="G280" s="146" t="s">
        <v>236</v>
      </c>
    </row>
    <row r="281" customFormat="false" ht="15.75" hidden="false" customHeight="true" outlineLevel="0" collapsed="false">
      <c r="A281" s="144" t="s">
        <v>952</v>
      </c>
      <c r="B281" s="144" t="s">
        <v>953</v>
      </c>
      <c r="C281" s="144"/>
      <c r="D281" s="146" t="s">
        <v>953</v>
      </c>
      <c r="E281" s="145" t="n">
        <v>9000</v>
      </c>
      <c r="F281" s="145" t="n">
        <v>10000</v>
      </c>
      <c r="G281" s="146" t="s">
        <v>236</v>
      </c>
    </row>
    <row r="282" customFormat="false" ht="15.75" hidden="false" customHeight="true" outlineLevel="0" collapsed="false">
      <c r="A282" s="144" t="s">
        <v>954</v>
      </c>
      <c r="B282" s="144" t="s">
        <v>955</v>
      </c>
      <c r="C282" s="144"/>
      <c r="D282" s="146" t="s">
        <v>955</v>
      </c>
      <c r="E282" s="145" t="n">
        <v>11</v>
      </c>
      <c r="F282" s="145" t="n">
        <v>600</v>
      </c>
      <c r="G282" s="146" t="s">
        <v>236</v>
      </c>
    </row>
    <row r="283" customFormat="false" ht="15.75" hidden="false" customHeight="true" outlineLevel="0" collapsed="false">
      <c r="A283" s="144" t="s">
        <v>956</v>
      </c>
      <c r="B283" s="144" t="s">
        <v>957</v>
      </c>
      <c r="C283" s="144"/>
      <c r="D283" s="146" t="s">
        <v>957</v>
      </c>
      <c r="E283" s="145" t="n">
        <v>6000</v>
      </c>
      <c r="F283" s="145" t="n">
        <v>6000</v>
      </c>
      <c r="G283" s="146" t="s">
        <v>236</v>
      </c>
    </row>
    <row r="284" customFormat="false" ht="15.75" hidden="false" customHeight="true" outlineLevel="0" collapsed="false">
      <c r="A284" s="144" t="s">
        <v>958</v>
      </c>
      <c r="B284" s="144"/>
      <c r="C284" s="144" t="s">
        <v>630</v>
      </c>
      <c r="D284" s="146" t="s">
        <v>630</v>
      </c>
      <c r="E284" s="145" t="n">
        <v>38</v>
      </c>
      <c r="F284" s="145" t="n">
        <v>96</v>
      </c>
      <c r="G284" s="146" t="s">
        <v>236</v>
      </c>
    </row>
    <row r="285" customFormat="false" ht="15.75" hidden="false" customHeight="true" outlineLevel="0" collapsed="false">
      <c r="A285" s="144" t="s">
        <v>959</v>
      </c>
      <c r="B285" s="144"/>
      <c r="C285" s="144" t="s">
        <v>630</v>
      </c>
      <c r="D285" s="146" t="s">
        <v>630</v>
      </c>
      <c r="E285" s="145" t="n">
        <v>38</v>
      </c>
      <c r="F285" s="145" t="n">
        <v>96</v>
      </c>
      <c r="G285" s="146" t="s">
        <v>236</v>
      </c>
    </row>
    <row r="286" customFormat="false" ht="15.75" hidden="false" customHeight="true" outlineLevel="0" collapsed="false">
      <c r="A286" s="144" t="s">
        <v>960</v>
      </c>
      <c r="B286" s="144"/>
      <c r="C286" s="144" t="s">
        <v>630</v>
      </c>
      <c r="D286" s="146" t="s">
        <v>630</v>
      </c>
      <c r="E286" s="145" t="n">
        <v>38</v>
      </c>
      <c r="F286" s="145" t="n">
        <v>96</v>
      </c>
      <c r="G286" s="146" t="s">
        <v>236</v>
      </c>
    </row>
    <row r="287" customFormat="false" ht="15.75" hidden="false" customHeight="true" outlineLevel="0" collapsed="false">
      <c r="A287" s="144" t="s">
        <v>961</v>
      </c>
      <c r="B287" s="144" t="s">
        <v>962</v>
      </c>
      <c r="C287" s="144"/>
      <c r="D287" s="146" t="s">
        <v>962</v>
      </c>
      <c r="E287" s="145" t="n">
        <v>21</v>
      </c>
      <c r="F287" s="145" t="n">
        <v>140</v>
      </c>
      <c r="G287" s="146" t="s">
        <v>236</v>
      </c>
    </row>
    <row r="288" customFormat="false" ht="15.75" hidden="false" customHeight="true" outlineLevel="0" collapsed="false">
      <c r="A288" s="144" t="s">
        <v>963</v>
      </c>
      <c r="B288" s="144"/>
      <c r="C288" s="144" t="s">
        <v>630</v>
      </c>
      <c r="D288" s="146" t="s">
        <v>630</v>
      </c>
      <c r="E288" s="145" t="n">
        <v>38</v>
      </c>
      <c r="F288" s="145" t="n">
        <v>96</v>
      </c>
      <c r="G288" s="146" t="s">
        <v>236</v>
      </c>
    </row>
    <row r="289" customFormat="false" ht="15.75" hidden="false" customHeight="true" outlineLevel="0" collapsed="false">
      <c r="A289" s="144" t="s">
        <v>964</v>
      </c>
      <c r="B289" s="144" t="s">
        <v>965</v>
      </c>
      <c r="C289" s="144"/>
      <c r="D289" s="146" t="s">
        <v>965</v>
      </c>
      <c r="E289" s="145" t="n">
        <v>4536</v>
      </c>
      <c r="F289" s="145" t="n">
        <v>4536</v>
      </c>
      <c r="G289" s="146" t="s">
        <v>236</v>
      </c>
    </row>
    <row r="290" customFormat="false" ht="15.75" hidden="false" customHeight="true" outlineLevel="0" collapsed="false">
      <c r="A290" s="144" t="s">
        <v>966</v>
      </c>
      <c r="B290" s="144" t="s">
        <v>967</v>
      </c>
      <c r="C290" s="144"/>
      <c r="D290" s="146" t="s">
        <v>967</v>
      </c>
      <c r="E290" s="145" t="n">
        <v>3723</v>
      </c>
      <c r="F290" s="145" t="n">
        <v>5548</v>
      </c>
      <c r="G290" s="146" t="s">
        <v>236</v>
      </c>
    </row>
    <row r="291" customFormat="false" ht="15.75" hidden="false" customHeight="true" outlineLevel="0" collapsed="false">
      <c r="A291" s="144" t="s">
        <v>968</v>
      </c>
      <c r="B291" s="144"/>
      <c r="C291" s="144" t="s">
        <v>630</v>
      </c>
      <c r="D291" s="146" t="s">
        <v>630</v>
      </c>
      <c r="E291" s="145" t="n">
        <v>38</v>
      </c>
      <c r="F291" s="145" t="n">
        <v>96</v>
      </c>
      <c r="G291" s="146" t="s">
        <v>236</v>
      </c>
    </row>
    <row r="292" customFormat="false" ht="15.75" hidden="false" customHeight="true" outlineLevel="0" collapsed="false">
      <c r="A292" s="144" t="s">
        <v>969</v>
      </c>
      <c r="B292" s="144" t="s">
        <v>970</v>
      </c>
      <c r="C292" s="144"/>
      <c r="D292" s="146" t="s">
        <v>970</v>
      </c>
      <c r="E292" s="145" t="n">
        <v>239</v>
      </c>
      <c r="F292" s="145" t="n">
        <v>367</v>
      </c>
      <c r="G292" s="146" t="s">
        <v>236</v>
      </c>
    </row>
    <row r="293" customFormat="false" ht="15.75" hidden="false" customHeight="true" outlineLevel="0" collapsed="false">
      <c r="A293" s="144" t="s">
        <v>971</v>
      </c>
      <c r="B293" s="144"/>
      <c r="C293" s="144" t="s">
        <v>630</v>
      </c>
      <c r="D293" s="146" t="s">
        <v>630</v>
      </c>
      <c r="E293" s="145" t="n">
        <v>38</v>
      </c>
      <c r="F293" s="145" t="n">
        <v>96</v>
      </c>
      <c r="G293" s="146" t="s">
        <v>236</v>
      </c>
    </row>
    <row r="294" customFormat="false" ht="15.75" hidden="false" customHeight="true" outlineLevel="0" collapsed="false">
      <c r="A294" s="144" t="s">
        <v>972</v>
      </c>
      <c r="B294" s="144"/>
      <c r="C294" s="144" t="s">
        <v>630</v>
      </c>
      <c r="D294" s="146" t="s">
        <v>630</v>
      </c>
      <c r="E294" s="145" t="n">
        <v>38</v>
      </c>
      <c r="F294" s="145" t="n">
        <v>96</v>
      </c>
      <c r="G294" s="146" t="s">
        <v>236</v>
      </c>
    </row>
    <row r="295" customFormat="false" ht="15.75" hidden="false" customHeight="true" outlineLevel="0" collapsed="false">
      <c r="A295" s="144" t="s">
        <v>973</v>
      </c>
      <c r="B295" s="144"/>
      <c r="C295" s="144" t="s">
        <v>630</v>
      </c>
      <c r="D295" s="146" t="s">
        <v>630</v>
      </c>
      <c r="E295" s="145" t="n">
        <v>38</v>
      </c>
      <c r="F295" s="145" t="n">
        <v>96</v>
      </c>
      <c r="G295" s="146" t="s">
        <v>236</v>
      </c>
    </row>
    <row r="296" customFormat="false" ht="15.75" hidden="false" customHeight="true" outlineLevel="0" collapsed="false">
      <c r="A296" s="144" t="s">
        <v>974</v>
      </c>
      <c r="B296" s="144"/>
      <c r="C296" s="144" t="s">
        <v>630</v>
      </c>
      <c r="D296" s="146" t="s">
        <v>630</v>
      </c>
      <c r="E296" s="145" t="n">
        <v>38</v>
      </c>
      <c r="F296" s="145" t="n">
        <v>96</v>
      </c>
      <c r="G296" s="146" t="s">
        <v>236</v>
      </c>
    </row>
    <row r="297" customFormat="false" ht="15.75" hidden="false" customHeight="true" outlineLevel="0" collapsed="false">
      <c r="A297" s="144" t="s">
        <v>975</v>
      </c>
      <c r="B297" s="144"/>
      <c r="C297" s="144" t="s">
        <v>630</v>
      </c>
      <c r="D297" s="146" t="s">
        <v>630</v>
      </c>
      <c r="E297" s="145" t="n">
        <v>38</v>
      </c>
      <c r="F297" s="145" t="n">
        <v>96</v>
      </c>
      <c r="G297" s="146" t="s">
        <v>236</v>
      </c>
    </row>
    <row r="298" customFormat="false" ht="15.75" hidden="false" customHeight="true" outlineLevel="0" collapsed="false">
      <c r="A298" s="144" t="s">
        <v>976</v>
      </c>
      <c r="B298" s="144" t="s">
        <v>977</v>
      </c>
      <c r="C298" s="144"/>
      <c r="D298" s="146" t="s">
        <v>977</v>
      </c>
      <c r="E298" s="145" t="n">
        <v>4</v>
      </c>
      <c r="F298" s="145" t="n">
        <v>31</v>
      </c>
      <c r="G298" s="146" t="s">
        <v>236</v>
      </c>
    </row>
    <row r="299" customFormat="false" ht="15.75" hidden="false" customHeight="true" outlineLevel="0" collapsed="false">
      <c r="A299" s="144" t="s">
        <v>978</v>
      </c>
      <c r="B299" s="144"/>
      <c r="C299" s="144" t="s">
        <v>630</v>
      </c>
      <c r="D299" s="146" t="s">
        <v>630</v>
      </c>
      <c r="E299" s="145" t="n">
        <v>38</v>
      </c>
      <c r="F299" s="145" t="n">
        <v>96</v>
      </c>
      <c r="G299" s="146" t="s">
        <v>236</v>
      </c>
    </row>
    <row r="300" customFormat="false" ht="15.75" hidden="false" customHeight="true" outlineLevel="0" collapsed="false">
      <c r="A300" s="144" t="s">
        <v>979</v>
      </c>
      <c r="B300" s="144"/>
      <c r="C300" s="144" t="s">
        <v>630</v>
      </c>
      <c r="D300" s="146" t="s">
        <v>630</v>
      </c>
      <c r="E300" s="145" t="n">
        <v>38</v>
      </c>
      <c r="F300" s="145" t="n">
        <v>96</v>
      </c>
      <c r="G300" s="146" t="s">
        <v>236</v>
      </c>
    </row>
    <row r="301" customFormat="false" ht="15.75" hidden="false" customHeight="true" outlineLevel="0" collapsed="false">
      <c r="A301" s="144" t="s">
        <v>980</v>
      </c>
      <c r="B301" s="144"/>
      <c r="C301" s="144" t="s">
        <v>630</v>
      </c>
      <c r="D301" s="146" t="s">
        <v>630</v>
      </c>
      <c r="E301" s="145" t="n">
        <v>38</v>
      </c>
      <c r="F301" s="145" t="n">
        <v>96</v>
      </c>
      <c r="G301" s="146" t="s">
        <v>236</v>
      </c>
    </row>
    <row r="302" customFormat="false" ht="15.75" hidden="false" customHeight="true" outlineLevel="0" collapsed="false">
      <c r="A302" s="144" t="s">
        <v>981</v>
      </c>
      <c r="B302" s="144" t="s">
        <v>982</v>
      </c>
      <c r="C302" s="144"/>
      <c r="D302" s="146" t="s">
        <v>982</v>
      </c>
      <c r="E302" s="145" t="n">
        <v>10000</v>
      </c>
      <c r="F302" s="145" t="n">
        <v>10000</v>
      </c>
      <c r="G302" s="146" t="s">
        <v>236</v>
      </c>
    </row>
    <row r="303" customFormat="false" ht="15.75" hidden="false" customHeight="true" outlineLevel="0" collapsed="false">
      <c r="A303" s="144" t="s">
        <v>983</v>
      </c>
      <c r="B303" s="144" t="s">
        <v>984</v>
      </c>
      <c r="C303" s="144"/>
      <c r="D303" s="146" t="s">
        <v>984</v>
      </c>
      <c r="E303" s="145" t="n">
        <v>2244</v>
      </c>
      <c r="F303" s="145" t="n">
        <v>3060</v>
      </c>
      <c r="G303" s="146" t="s">
        <v>236</v>
      </c>
    </row>
    <row r="304" customFormat="false" ht="15.75" hidden="false" customHeight="true" outlineLevel="0" collapsed="false">
      <c r="A304" s="144" t="s">
        <v>985</v>
      </c>
      <c r="B304" s="144"/>
      <c r="C304" s="144" t="s">
        <v>630</v>
      </c>
      <c r="D304" s="146" t="s">
        <v>630</v>
      </c>
      <c r="E304" s="145" t="n">
        <v>38</v>
      </c>
      <c r="F304" s="145" t="n">
        <v>96</v>
      </c>
      <c r="G304" s="146" t="s">
        <v>236</v>
      </c>
    </row>
    <row r="305" customFormat="false" ht="15.75" hidden="false" customHeight="true" outlineLevel="0" collapsed="false">
      <c r="A305" s="144" t="s">
        <v>986</v>
      </c>
      <c r="B305" s="144" t="s">
        <v>987</v>
      </c>
      <c r="C305" s="144"/>
      <c r="D305" s="146" t="s">
        <v>987</v>
      </c>
      <c r="E305" s="145" t="n">
        <v>78</v>
      </c>
      <c r="F305" s="145" t="n">
        <v>79</v>
      </c>
      <c r="G305" s="146" t="s">
        <v>236</v>
      </c>
    </row>
    <row r="306" customFormat="false" ht="15.75" hidden="false" customHeight="true" outlineLevel="0" collapsed="false">
      <c r="A306" s="144" t="s">
        <v>988</v>
      </c>
      <c r="B306" s="144"/>
      <c r="C306" s="144" t="s">
        <v>630</v>
      </c>
      <c r="D306" s="146" t="s">
        <v>630</v>
      </c>
      <c r="E306" s="145" t="n">
        <v>38</v>
      </c>
      <c r="F306" s="145" t="n">
        <v>96</v>
      </c>
      <c r="G306" s="146" t="s">
        <v>236</v>
      </c>
    </row>
    <row r="307" customFormat="false" ht="15.75" hidden="false" customHeight="true" outlineLevel="0" collapsed="false">
      <c r="A307" s="144" t="s">
        <v>516</v>
      </c>
      <c r="B307" s="144" t="s">
        <v>989</v>
      </c>
      <c r="C307" s="144"/>
      <c r="D307" s="146" t="s">
        <v>989</v>
      </c>
      <c r="E307" s="145" t="n">
        <v>12794</v>
      </c>
      <c r="F307" s="145" t="n">
        <v>12794</v>
      </c>
      <c r="G307" s="146" t="s">
        <v>236</v>
      </c>
    </row>
    <row r="308" customFormat="false" ht="15.75" hidden="false" customHeight="true" outlineLevel="0" collapsed="false">
      <c r="A308" s="144" t="s">
        <v>990</v>
      </c>
      <c r="B308" s="144" t="s">
        <v>991</v>
      </c>
      <c r="C308" s="144"/>
      <c r="D308" s="146" t="s">
        <v>991</v>
      </c>
      <c r="E308" s="145" t="n">
        <v>262000</v>
      </c>
      <c r="F308" s="145" t="n">
        <v>262000</v>
      </c>
      <c r="G308" s="146" t="s">
        <v>236</v>
      </c>
    </row>
    <row r="309" customFormat="false" ht="15.75" hidden="false" customHeight="true" outlineLevel="0" collapsed="false">
      <c r="A309" s="144" t="s">
        <v>992</v>
      </c>
      <c r="B309" s="144" t="s">
        <v>993</v>
      </c>
      <c r="C309" s="144"/>
      <c r="D309" s="146" t="s">
        <v>993</v>
      </c>
      <c r="E309" s="145" t="n">
        <v>39</v>
      </c>
      <c r="F309" s="145" t="n">
        <v>53</v>
      </c>
      <c r="G309" s="146" t="s">
        <v>236</v>
      </c>
    </row>
    <row r="310" customFormat="false" ht="15.75" hidden="false" customHeight="true" outlineLevel="0" collapsed="false">
      <c r="A310" s="144" t="s">
        <v>994</v>
      </c>
      <c r="B310" s="144" t="s">
        <v>995</v>
      </c>
      <c r="C310" s="144"/>
      <c r="D310" s="146" t="s">
        <v>995</v>
      </c>
      <c r="E310" s="145" t="n">
        <v>146</v>
      </c>
      <c r="F310" s="145" t="n">
        <v>1200</v>
      </c>
      <c r="G310" s="146" t="s">
        <v>236</v>
      </c>
    </row>
    <row r="311" customFormat="false" ht="15.75" hidden="false" customHeight="true" outlineLevel="0" collapsed="false">
      <c r="A311" s="144" t="s">
        <v>996</v>
      </c>
      <c r="B311" s="144"/>
      <c r="C311" s="144" t="s">
        <v>630</v>
      </c>
      <c r="D311" s="146" t="s">
        <v>630</v>
      </c>
      <c r="E311" s="145" t="n">
        <v>38</v>
      </c>
      <c r="F311" s="145" t="n">
        <v>96</v>
      </c>
      <c r="G311" s="146" t="s">
        <v>236</v>
      </c>
    </row>
    <row r="312" customFormat="false" ht="15.75" hidden="false" customHeight="true" outlineLevel="0" collapsed="false">
      <c r="A312" s="144" t="s">
        <v>997</v>
      </c>
      <c r="B312" s="144" t="s">
        <v>998</v>
      </c>
      <c r="C312" s="144"/>
      <c r="D312" s="146" t="s">
        <v>998</v>
      </c>
      <c r="E312" s="145" t="n">
        <v>217</v>
      </c>
      <c r="F312" s="145" t="n">
        <v>5100</v>
      </c>
      <c r="G312" s="146" t="s">
        <v>236</v>
      </c>
    </row>
    <row r="313" customFormat="false" ht="15.75" hidden="false" customHeight="true" outlineLevel="0" collapsed="false">
      <c r="A313" s="144" t="s">
        <v>999</v>
      </c>
      <c r="B313" s="144"/>
      <c r="C313" s="144" t="s">
        <v>630</v>
      </c>
      <c r="D313" s="146" t="s">
        <v>630</v>
      </c>
      <c r="E313" s="145" t="n">
        <v>38</v>
      </c>
      <c r="F313" s="145" t="n">
        <v>96</v>
      </c>
      <c r="G313" s="146" t="s">
        <v>236</v>
      </c>
    </row>
    <row r="314" customFormat="false" ht="15.75" hidden="false" customHeight="true" outlineLevel="0" collapsed="false">
      <c r="A314" s="144" t="s">
        <v>1000</v>
      </c>
      <c r="B314" s="144"/>
      <c r="C314" s="144" t="s">
        <v>630</v>
      </c>
      <c r="D314" s="146" t="s">
        <v>630</v>
      </c>
      <c r="E314" s="145" t="n">
        <v>38</v>
      </c>
      <c r="F314" s="145" t="n">
        <v>96</v>
      </c>
      <c r="G314" s="146" t="s">
        <v>236</v>
      </c>
    </row>
    <row r="315" customFormat="false" ht="15.75" hidden="false" customHeight="true" outlineLevel="0" collapsed="false">
      <c r="A315" s="144" t="s">
        <v>1001</v>
      </c>
      <c r="B315" s="144" t="s">
        <v>1002</v>
      </c>
      <c r="C315" s="144"/>
      <c r="D315" s="146" t="s">
        <v>1002</v>
      </c>
      <c r="E315" s="145" t="n">
        <v>951</v>
      </c>
      <c r="F315" s="145" t="n">
        <v>1296</v>
      </c>
      <c r="G315" s="146" t="s">
        <v>236</v>
      </c>
    </row>
    <row r="316" customFormat="false" ht="15.75" hidden="false" customHeight="true" outlineLevel="0" collapsed="false">
      <c r="A316" s="144" t="s">
        <v>1003</v>
      </c>
      <c r="B316" s="144"/>
      <c r="C316" s="144" t="s">
        <v>630</v>
      </c>
      <c r="D316" s="146" t="s">
        <v>630</v>
      </c>
      <c r="E316" s="145" t="n">
        <v>38</v>
      </c>
      <c r="F316" s="145" t="n">
        <v>96</v>
      </c>
      <c r="G316" s="146" t="s">
        <v>236</v>
      </c>
    </row>
    <row r="317" customFormat="false" ht="15.75" hidden="false" customHeight="true" outlineLevel="0" collapsed="false">
      <c r="A317" s="144" t="s">
        <v>1004</v>
      </c>
      <c r="B317" s="144"/>
      <c r="C317" s="144" t="s">
        <v>630</v>
      </c>
      <c r="D317" s="146" t="s">
        <v>630</v>
      </c>
      <c r="E317" s="145" t="n">
        <v>38</v>
      </c>
      <c r="F317" s="145" t="n">
        <v>96</v>
      </c>
      <c r="G317" s="146" t="s">
        <v>236</v>
      </c>
    </row>
    <row r="318" customFormat="false" ht="15.75" hidden="false" customHeight="true" outlineLevel="0" collapsed="false">
      <c r="A318" s="144" t="s">
        <v>1005</v>
      </c>
      <c r="B318" s="144" t="s">
        <v>1006</v>
      </c>
      <c r="C318" s="144"/>
      <c r="D318" s="146" t="s">
        <v>1006</v>
      </c>
      <c r="E318" s="145" t="n">
        <v>1298</v>
      </c>
      <c r="F318" s="145" t="n">
        <v>1524</v>
      </c>
      <c r="G318" s="146" t="s">
        <v>236</v>
      </c>
    </row>
    <row r="319" customFormat="false" ht="15.75" hidden="false" customHeight="true" outlineLevel="0" collapsed="false">
      <c r="A319" s="144" t="s">
        <v>1007</v>
      </c>
      <c r="B319" s="144"/>
      <c r="C319" s="144" t="s">
        <v>630</v>
      </c>
      <c r="D319" s="146" t="s">
        <v>630</v>
      </c>
      <c r="E319" s="145" t="n">
        <v>38</v>
      </c>
      <c r="F319" s="145" t="n">
        <v>96</v>
      </c>
      <c r="G319" s="146" t="s">
        <v>236</v>
      </c>
    </row>
    <row r="320" customFormat="false" ht="15.75" hidden="false" customHeight="true" outlineLevel="0" collapsed="false">
      <c r="A320" s="144" t="s">
        <v>1008</v>
      </c>
      <c r="B320" s="144" t="s">
        <v>1009</v>
      </c>
      <c r="C320" s="144"/>
      <c r="D320" s="146" t="s">
        <v>1009</v>
      </c>
      <c r="E320" s="145" t="n">
        <v>1943</v>
      </c>
      <c r="F320" s="145" t="n">
        <v>1943</v>
      </c>
      <c r="G320" s="146" t="s">
        <v>236</v>
      </c>
    </row>
    <row r="321" customFormat="false" ht="15.75" hidden="false" customHeight="true" outlineLevel="0" collapsed="false">
      <c r="A321" s="144" t="s">
        <v>1010</v>
      </c>
      <c r="B321" s="144" t="s">
        <v>1011</v>
      </c>
      <c r="C321" s="144"/>
      <c r="D321" s="146" t="s">
        <v>1011</v>
      </c>
      <c r="E321" s="145" t="n">
        <v>38000</v>
      </c>
      <c r="F321" s="145" t="n">
        <v>99300</v>
      </c>
      <c r="G321" s="146" t="s">
        <v>236</v>
      </c>
    </row>
    <row r="322" customFormat="false" ht="15.75" hidden="false" customHeight="true" outlineLevel="0" collapsed="false">
      <c r="A322" s="144" t="s">
        <v>1012</v>
      </c>
      <c r="B322" s="144"/>
      <c r="C322" s="144" t="s">
        <v>630</v>
      </c>
      <c r="D322" s="146" t="s">
        <v>630</v>
      </c>
      <c r="E322" s="145" t="n">
        <v>38</v>
      </c>
      <c r="F322" s="145" t="n">
        <v>96</v>
      </c>
      <c r="G322" s="146" t="s">
        <v>236</v>
      </c>
    </row>
    <row r="323" customFormat="false" ht="15.75" hidden="false" customHeight="true" outlineLevel="0" collapsed="false">
      <c r="A323" s="144" t="s">
        <v>1013</v>
      </c>
      <c r="B323" s="144" t="s">
        <v>1014</v>
      </c>
      <c r="C323" s="144"/>
      <c r="D323" s="146" t="s">
        <v>1014</v>
      </c>
      <c r="E323" s="145" t="n">
        <v>85000</v>
      </c>
      <c r="F323" s="145" t="n">
        <v>90000</v>
      </c>
      <c r="G323" s="146" t="s">
        <v>236</v>
      </c>
    </row>
    <row r="324" customFormat="false" ht="15.75" hidden="false" customHeight="true" outlineLevel="0" collapsed="false">
      <c r="A324" s="144" t="s">
        <v>1015</v>
      </c>
      <c r="B324" s="144"/>
      <c r="C324" s="144" t="s">
        <v>630</v>
      </c>
      <c r="D324" s="146" t="s">
        <v>630</v>
      </c>
      <c r="E324" s="145" t="n">
        <v>38</v>
      </c>
      <c r="F324" s="145" t="n">
        <v>96</v>
      </c>
      <c r="G324" s="146" t="s">
        <v>236</v>
      </c>
    </row>
    <row r="325" customFormat="false" ht="15.75" hidden="false" customHeight="true" outlineLevel="0" collapsed="false">
      <c r="A325" s="144" t="s">
        <v>1016</v>
      </c>
      <c r="B325" s="144" t="s">
        <v>1017</v>
      </c>
      <c r="C325" s="144"/>
      <c r="D325" s="146" t="s">
        <v>1017</v>
      </c>
      <c r="E325" s="145" t="n">
        <v>394</v>
      </c>
      <c r="F325" s="145" t="n">
        <v>739</v>
      </c>
      <c r="G325" s="146" t="s">
        <v>236</v>
      </c>
    </row>
    <row r="326" customFormat="false" ht="15.75" hidden="false" customHeight="true" outlineLevel="0" collapsed="false">
      <c r="A326" s="144" t="s">
        <v>1018</v>
      </c>
      <c r="B326" s="144" t="s">
        <v>1019</v>
      </c>
      <c r="C326" s="144"/>
      <c r="D326" s="146" t="s">
        <v>1019</v>
      </c>
      <c r="E326" s="145" t="n">
        <v>3000</v>
      </c>
      <c r="F326" s="145" t="n">
        <v>4500</v>
      </c>
      <c r="G326" s="146" t="s">
        <v>236</v>
      </c>
    </row>
    <row r="327" customFormat="false" ht="15.75" hidden="false" customHeight="true" outlineLevel="0" collapsed="false">
      <c r="A327" s="144" t="s">
        <v>1020</v>
      </c>
      <c r="B327" s="144" t="s">
        <v>570</v>
      </c>
      <c r="C327" s="144"/>
      <c r="D327" s="146" t="s">
        <v>570</v>
      </c>
      <c r="E327" s="145" t="n">
        <v>1000</v>
      </c>
      <c r="F327" s="145" t="n">
        <v>1000</v>
      </c>
      <c r="G327" s="146" t="s">
        <v>236</v>
      </c>
    </row>
    <row r="328" customFormat="false" ht="15.75" hidden="false" customHeight="true" outlineLevel="0" collapsed="false">
      <c r="A328" s="144" t="s">
        <v>1021</v>
      </c>
      <c r="B328" s="144" t="s">
        <v>554</v>
      </c>
      <c r="C328" s="144"/>
      <c r="D328" s="146" t="s">
        <v>554</v>
      </c>
      <c r="E328" s="145" t="n">
        <v>500</v>
      </c>
      <c r="F328" s="145" t="n">
        <v>1000</v>
      </c>
      <c r="G328" s="146" t="s">
        <v>236</v>
      </c>
    </row>
    <row r="329" customFormat="false" ht="15.75" hidden="false" customHeight="true" outlineLevel="0" collapsed="false">
      <c r="A329" s="144" t="s">
        <v>1022</v>
      </c>
      <c r="B329" s="144"/>
      <c r="C329" s="144" t="s">
        <v>630</v>
      </c>
      <c r="D329" s="146" t="s">
        <v>630</v>
      </c>
      <c r="E329" s="145" t="n">
        <v>38</v>
      </c>
      <c r="F329" s="145" t="n">
        <v>96</v>
      </c>
      <c r="G329" s="146" t="s">
        <v>236</v>
      </c>
    </row>
    <row r="330" customFormat="false" ht="15.75" hidden="false" customHeight="true" outlineLevel="0" collapsed="false">
      <c r="A330" s="144" t="s">
        <v>1023</v>
      </c>
      <c r="B330" s="144"/>
      <c r="C330" s="144" t="s">
        <v>630</v>
      </c>
      <c r="D330" s="146" t="s">
        <v>630</v>
      </c>
      <c r="E330" s="145" t="n">
        <v>38</v>
      </c>
      <c r="F330" s="145" t="n">
        <v>96</v>
      </c>
      <c r="G330" s="146" t="s">
        <v>236</v>
      </c>
    </row>
    <row r="331" customFormat="false" ht="15.75" hidden="false" customHeight="true" outlineLevel="0" collapsed="false">
      <c r="A331" s="144" t="s">
        <v>1024</v>
      </c>
      <c r="B331" s="144" t="s">
        <v>1025</v>
      </c>
      <c r="C331" s="144"/>
      <c r="D331" s="146" t="s">
        <v>1025</v>
      </c>
      <c r="E331" s="145" t="n">
        <v>2000</v>
      </c>
      <c r="F331" s="145" t="n">
        <v>7000</v>
      </c>
      <c r="G331" s="146" t="s">
        <v>236</v>
      </c>
    </row>
    <row r="332" customFormat="false" ht="15.75" hidden="false" customHeight="true" outlineLevel="0" collapsed="false">
      <c r="A332" s="144" t="s">
        <v>1026</v>
      </c>
      <c r="B332" s="144"/>
      <c r="C332" s="144" t="s">
        <v>630</v>
      </c>
      <c r="D332" s="146" t="s">
        <v>630</v>
      </c>
      <c r="E332" s="145" t="n">
        <v>38</v>
      </c>
      <c r="F332" s="145" t="n">
        <v>96</v>
      </c>
      <c r="G332" s="146" t="s">
        <v>236</v>
      </c>
    </row>
    <row r="333" customFormat="false" ht="15.75" hidden="false" customHeight="true" outlineLevel="0" collapsed="false">
      <c r="A333" s="144" t="s">
        <v>1027</v>
      </c>
      <c r="B333" s="144"/>
      <c r="C333" s="144" t="s">
        <v>630</v>
      </c>
      <c r="D333" s="146" t="s">
        <v>630</v>
      </c>
      <c r="E333" s="145" t="n">
        <v>38</v>
      </c>
      <c r="F333" s="145" t="n">
        <v>96</v>
      </c>
      <c r="G333" s="146" t="s">
        <v>236</v>
      </c>
    </row>
    <row r="334" customFormat="false" ht="15.75" hidden="false" customHeight="true" outlineLevel="0" collapsed="false">
      <c r="A334" s="144" t="s">
        <v>573</v>
      </c>
      <c r="B334" s="144" t="s">
        <v>570</v>
      </c>
      <c r="C334" s="144"/>
      <c r="D334" s="146" t="s">
        <v>570</v>
      </c>
      <c r="E334" s="145" t="n">
        <v>1000</v>
      </c>
      <c r="F334" s="145" t="n">
        <v>1000</v>
      </c>
      <c r="G334" s="146" t="s">
        <v>236</v>
      </c>
    </row>
    <row r="335" customFormat="false" ht="15.75" hidden="false" customHeight="true" outlineLevel="0" collapsed="false">
      <c r="A335" s="144" t="s">
        <v>1028</v>
      </c>
      <c r="B335" s="144"/>
      <c r="C335" s="144" t="s">
        <v>630</v>
      </c>
      <c r="D335" s="146" t="s">
        <v>630</v>
      </c>
      <c r="E335" s="145" t="n">
        <v>38</v>
      </c>
      <c r="F335" s="145" t="n">
        <v>96</v>
      </c>
      <c r="G335" s="146" t="s">
        <v>236</v>
      </c>
    </row>
    <row r="336" customFormat="false" ht="15.75" hidden="false" customHeight="true" outlineLevel="0" collapsed="false">
      <c r="A336" s="144" t="s">
        <v>1029</v>
      </c>
      <c r="B336" s="144" t="s">
        <v>1030</v>
      </c>
      <c r="C336" s="144"/>
      <c r="D336" s="146" t="s">
        <v>1030</v>
      </c>
      <c r="E336" s="145" t="n">
        <v>1718</v>
      </c>
      <c r="F336" s="145" t="n">
        <v>14854</v>
      </c>
      <c r="G336" s="146" t="s">
        <v>236</v>
      </c>
    </row>
    <row r="337" customFormat="false" ht="15.75" hidden="false" customHeight="true" outlineLevel="0" collapsed="false">
      <c r="A337" s="144" t="s">
        <v>1031</v>
      </c>
      <c r="B337" s="144" t="s">
        <v>982</v>
      </c>
      <c r="C337" s="144"/>
      <c r="D337" s="146" t="s">
        <v>982</v>
      </c>
      <c r="E337" s="145" t="n">
        <v>10000</v>
      </c>
      <c r="F337" s="145" t="n">
        <v>10000</v>
      </c>
      <c r="G337" s="146" t="s">
        <v>236</v>
      </c>
    </row>
    <row r="338" customFormat="false" ht="15.75" hidden="false" customHeight="true" outlineLevel="0" collapsed="false">
      <c r="A338" s="144" t="s">
        <v>1032</v>
      </c>
      <c r="B338" s="144" t="s">
        <v>1033</v>
      </c>
      <c r="C338" s="144"/>
      <c r="D338" s="146" t="s">
        <v>1033</v>
      </c>
      <c r="E338" s="145" t="n">
        <v>413</v>
      </c>
      <c r="F338" s="145" t="n">
        <v>30000</v>
      </c>
      <c r="G338" s="146" t="s">
        <v>236</v>
      </c>
    </row>
    <row r="339" customFormat="false" ht="15.75" hidden="false" customHeight="true" outlineLevel="0" collapsed="false">
      <c r="A339" s="144" t="s">
        <v>1034</v>
      </c>
      <c r="B339" s="144"/>
      <c r="C339" s="144" t="s">
        <v>598</v>
      </c>
      <c r="D339" s="146" t="s">
        <v>598</v>
      </c>
      <c r="E339" s="145" t="n">
        <v>38</v>
      </c>
      <c r="F339" s="145" t="n">
        <v>97</v>
      </c>
      <c r="G339" s="146" t="s">
        <v>236</v>
      </c>
    </row>
    <row r="340" customFormat="false" ht="15.75" hidden="false" customHeight="true" outlineLevel="0" collapsed="false">
      <c r="A340" s="144" t="s">
        <v>1035</v>
      </c>
      <c r="B340" s="144" t="s">
        <v>1036</v>
      </c>
      <c r="C340" s="144"/>
      <c r="D340" s="146" t="s">
        <v>1036</v>
      </c>
      <c r="E340" s="145" t="n">
        <v>81</v>
      </c>
      <c r="F340" s="145" t="n">
        <v>260</v>
      </c>
      <c r="G340" s="146" t="s">
        <v>236</v>
      </c>
    </row>
    <row r="341" customFormat="false" ht="15.75" hidden="false" customHeight="true" outlineLevel="0" collapsed="false">
      <c r="A341" s="144" t="s">
        <v>1037</v>
      </c>
      <c r="B341" s="144"/>
      <c r="C341" s="144" t="s">
        <v>598</v>
      </c>
      <c r="D341" s="146" t="s">
        <v>598</v>
      </c>
      <c r="E341" s="145" t="n">
        <v>38</v>
      </c>
      <c r="F341" s="145" t="n">
        <v>97</v>
      </c>
      <c r="G341" s="146" t="s">
        <v>236</v>
      </c>
    </row>
    <row r="342" customFormat="false" ht="15.75" hidden="false" customHeight="true" outlineLevel="0" collapsed="false">
      <c r="A342" s="144" t="s">
        <v>1038</v>
      </c>
      <c r="B342" s="144" t="s">
        <v>1039</v>
      </c>
      <c r="C342" s="144"/>
      <c r="D342" s="146" t="s">
        <v>1039</v>
      </c>
      <c r="E342" s="145" t="n">
        <v>907</v>
      </c>
      <c r="F342" s="145" t="n">
        <v>9072</v>
      </c>
      <c r="G342" s="146" t="s">
        <v>236</v>
      </c>
    </row>
    <row r="343" customFormat="false" ht="15.75" hidden="false" customHeight="true" outlineLevel="0" collapsed="false">
      <c r="A343" s="144" t="s">
        <v>1040</v>
      </c>
      <c r="B343" s="144" t="s">
        <v>1041</v>
      </c>
      <c r="C343" s="144"/>
      <c r="D343" s="146" t="s">
        <v>1041</v>
      </c>
      <c r="E343" s="145" t="n">
        <v>6804</v>
      </c>
      <c r="F343" s="145" t="n">
        <v>6804</v>
      </c>
      <c r="G343" s="146" t="s">
        <v>236</v>
      </c>
    </row>
    <row r="344" customFormat="false" ht="15.75" hidden="false" customHeight="true" outlineLevel="0" collapsed="false">
      <c r="A344" s="144" t="s">
        <v>1042</v>
      </c>
      <c r="B344" s="144" t="s">
        <v>1043</v>
      </c>
      <c r="C344" s="144"/>
      <c r="D344" s="146" t="s">
        <v>1043</v>
      </c>
      <c r="E344" s="145" t="n">
        <v>65</v>
      </c>
      <c r="F344" s="145" t="n">
        <v>91</v>
      </c>
      <c r="G344" s="146" t="s">
        <v>236</v>
      </c>
    </row>
    <row r="345" customFormat="false" ht="15.75" hidden="false" customHeight="true" outlineLevel="0" collapsed="false">
      <c r="A345" s="144" t="s">
        <v>1044</v>
      </c>
      <c r="B345" s="144"/>
      <c r="C345" s="144" t="s">
        <v>630</v>
      </c>
      <c r="D345" s="146" t="s">
        <v>630</v>
      </c>
      <c r="E345" s="145" t="n">
        <v>38</v>
      </c>
      <c r="F345" s="145" t="n">
        <v>96</v>
      </c>
      <c r="G345" s="146" t="s">
        <v>236</v>
      </c>
    </row>
    <row r="346" customFormat="false" ht="15.75" hidden="false" customHeight="true" outlineLevel="0" collapsed="false">
      <c r="A346" s="144" t="s">
        <v>1045</v>
      </c>
      <c r="B346" s="144" t="s">
        <v>1046</v>
      </c>
      <c r="C346" s="144"/>
      <c r="D346" s="146" t="s">
        <v>1046</v>
      </c>
      <c r="E346" s="145" t="n">
        <v>4070</v>
      </c>
      <c r="F346" s="145" t="n">
        <v>5550</v>
      </c>
      <c r="G346" s="146" t="s">
        <v>236</v>
      </c>
    </row>
    <row r="347" customFormat="false" ht="15.75" hidden="false" customHeight="true" outlineLevel="0" collapsed="false">
      <c r="A347" s="144" t="s">
        <v>1047</v>
      </c>
      <c r="B347" s="144"/>
      <c r="C347" s="144" t="s">
        <v>630</v>
      </c>
      <c r="D347" s="146" t="s">
        <v>630</v>
      </c>
      <c r="E347" s="145" t="n">
        <v>38</v>
      </c>
      <c r="F347" s="145" t="n">
        <v>96</v>
      </c>
      <c r="G347" s="146" t="s">
        <v>236</v>
      </c>
    </row>
    <row r="348" customFormat="false" ht="15.75" hidden="false" customHeight="true" outlineLevel="0" collapsed="false">
      <c r="A348" s="144" t="s">
        <v>1048</v>
      </c>
      <c r="B348" s="144"/>
      <c r="C348" s="144" t="s">
        <v>630</v>
      </c>
      <c r="D348" s="146" t="s">
        <v>630</v>
      </c>
      <c r="E348" s="145" t="n">
        <v>38</v>
      </c>
      <c r="F348" s="145" t="n">
        <v>96</v>
      </c>
      <c r="G348" s="146" t="s">
        <v>236</v>
      </c>
    </row>
    <row r="349" customFormat="false" ht="15.75" hidden="false" customHeight="true" outlineLevel="0" collapsed="false">
      <c r="A349" s="144" t="s">
        <v>1049</v>
      </c>
      <c r="B349" s="144"/>
      <c r="C349" s="144" t="s">
        <v>630</v>
      </c>
      <c r="D349" s="146" t="s">
        <v>630</v>
      </c>
      <c r="E349" s="145" t="n">
        <v>38</v>
      </c>
      <c r="F349" s="145" t="n">
        <v>96</v>
      </c>
      <c r="G349" s="146" t="s">
        <v>236</v>
      </c>
    </row>
    <row r="350" customFormat="false" ht="15.75" hidden="false" customHeight="true" outlineLevel="0" collapsed="false">
      <c r="A350" s="144" t="s">
        <v>1050</v>
      </c>
      <c r="B350" s="144"/>
      <c r="C350" s="144" t="s">
        <v>630</v>
      </c>
      <c r="D350" s="146" t="s">
        <v>630</v>
      </c>
      <c r="E350" s="145" t="n">
        <v>38</v>
      </c>
      <c r="F350" s="145" t="n">
        <v>96</v>
      </c>
      <c r="G350" s="146" t="s">
        <v>236</v>
      </c>
    </row>
    <row r="351" customFormat="false" ht="15.75" hidden="false" customHeight="true" outlineLevel="0" collapsed="false">
      <c r="A351" s="144" t="s">
        <v>1051</v>
      </c>
      <c r="B351" s="144"/>
      <c r="C351" s="144" t="s">
        <v>630</v>
      </c>
      <c r="D351" s="146" t="s">
        <v>630</v>
      </c>
      <c r="E351" s="145" t="n">
        <v>38</v>
      </c>
      <c r="F351" s="145" t="n">
        <v>96</v>
      </c>
      <c r="G351" s="146" t="s">
        <v>236</v>
      </c>
    </row>
    <row r="352" customFormat="false" ht="15.75" hidden="false" customHeight="true" outlineLevel="0" collapsed="false">
      <c r="A352" s="144" t="s">
        <v>1052</v>
      </c>
      <c r="B352" s="144"/>
      <c r="C352" s="144" t="s">
        <v>630</v>
      </c>
      <c r="D352" s="146" t="s">
        <v>630</v>
      </c>
      <c r="E352" s="145" t="n">
        <v>38</v>
      </c>
      <c r="F352" s="145" t="n">
        <v>96</v>
      </c>
      <c r="G352" s="146" t="s">
        <v>236</v>
      </c>
    </row>
    <row r="353" customFormat="false" ht="15.75" hidden="false" customHeight="true" outlineLevel="0" collapsed="false">
      <c r="A353" s="144" t="s">
        <v>1053</v>
      </c>
      <c r="B353" s="144"/>
      <c r="C353" s="144" t="s">
        <v>630</v>
      </c>
      <c r="D353" s="146" t="s">
        <v>630</v>
      </c>
      <c r="E353" s="145" t="n">
        <v>38</v>
      </c>
      <c r="F353" s="145" t="n">
        <v>96</v>
      </c>
      <c r="G353" s="146" t="s">
        <v>236</v>
      </c>
    </row>
    <row r="354" customFormat="false" ht="15.75" hidden="false" customHeight="true" outlineLevel="0" collapsed="false">
      <c r="A354" s="144" t="s">
        <v>1054</v>
      </c>
      <c r="B354" s="144"/>
      <c r="C354" s="144" t="s">
        <v>630</v>
      </c>
      <c r="D354" s="146" t="s">
        <v>630</v>
      </c>
      <c r="E354" s="145" t="n">
        <v>38</v>
      </c>
      <c r="F354" s="145" t="n">
        <v>96</v>
      </c>
      <c r="G354" s="146" t="s">
        <v>236</v>
      </c>
    </row>
    <row r="355" customFormat="false" ht="15.75" hidden="false" customHeight="true" outlineLevel="0" collapsed="false">
      <c r="A355" s="144" t="s">
        <v>577</v>
      </c>
      <c r="B355" s="144" t="s">
        <v>1055</v>
      </c>
      <c r="C355" s="144"/>
      <c r="D355" s="146" t="s">
        <v>1055</v>
      </c>
      <c r="E355" s="145" t="n">
        <v>6364</v>
      </c>
      <c r="F355" s="145" t="n">
        <v>18182</v>
      </c>
      <c r="G355" s="146" t="s">
        <v>236</v>
      </c>
    </row>
    <row r="356" customFormat="false" ht="15.75" hidden="false" customHeight="true" outlineLevel="0" collapsed="false">
      <c r="A356" s="144" t="s">
        <v>1056</v>
      </c>
      <c r="B356" s="144"/>
      <c r="C356" s="144" t="s">
        <v>630</v>
      </c>
      <c r="D356" s="146" t="s">
        <v>630</v>
      </c>
      <c r="E356" s="145" t="n">
        <v>38</v>
      </c>
      <c r="F356" s="145" t="n">
        <v>96</v>
      </c>
      <c r="G356" s="146" t="s">
        <v>236</v>
      </c>
    </row>
    <row r="357" customFormat="false" ht="15.75" hidden="false" customHeight="true" outlineLevel="0" collapsed="false">
      <c r="A357" s="144" t="s">
        <v>1057</v>
      </c>
      <c r="B357" s="144" t="s">
        <v>1058</v>
      </c>
      <c r="C357" s="144"/>
      <c r="D357" s="146" t="s">
        <v>1058</v>
      </c>
      <c r="E357" s="145" t="n">
        <v>100000</v>
      </c>
      <c r="F357" s="145" t="n">
        <v>200000</v>
      </c>
      <c r="G357" s="146" t="s">
        <v>236</v>
      </c>
    </row>
    <row r="358" customFormat="false" ht="15.75" hidden="false" customHeight="true" outlineLevel="0" collapsed="false">
      <c r="A358" s="144" t="s">
        <v>1059</v>
      </c>
      <c r="B358" s="144"/>
      <c r="C358" s="144" t="s">
        <v>714</v>
      </c>
      <c r="D358" s="146" t="s">
        <v>714</v>
      </c>
      <c r="E358" s="145" t="n">
        <v>5950</v>
      </c>
      <c r="F358" s="145" t="n">
        <v>10539</v>
      </c>
      <c r="G358" s="146" t="s">
        <v>236</v>
      </c>
    </row>
    <row r="359" customFormat="false" ht="15.75" hidden="false" customHeight="true" outlineLevel="0" collapsed="false">
      <c r="A359" s="144" t="s">
        <v>531</v>
      </c>
      <c r="B359" s="144" t="s">
        <v>1060</v>
      </c>
      <c r="C359" s="144"/>
      <c r="D359" s="146" t="s">
        <v>1060</v>
      </c>
      <c r="E359" s="145" t="n">
        <v>600</v>
      </c>
      <c r="F359" s="145" t="n">
        <v>600</v>
      </c>
      <c r="G359" s="146" t="s">
        <v>236</v>
      </c>
    </row>
    <row r="360" customFormat="false" ht="15.75" hidden="false" customHeight="true" outlineLevel="0" collapsed="false">
      <c r="A360" s="144" t="s">
        <v>1061</v>
      </c>
      <c r="B360" s="144"/>
      <c r="C360" s="144" t="s">
        <v>714</v>
      </c>
      <c r="D360" s="146" t="s">
        <v>714</v>
      </c>
      <c r="E360" s="145" t="n">
        <v>5950</v>
      </c>
      <c r="F360" s="145" t="n">
        <v>10539</v>
      </c>
      <c r="G360" s="146" t="s">
        <v>236</v>
      </c>
    </row>
    <row r="361" customFormat="false" ht="15.75" hidden="false" customHeight="true" outlineLevel="0" collapsed="false">
      <c r="A361" s="144" t="s">
        <v>1062</v>
      </c>
      <c r="B361" s="144"/>
      <c r="C361" s="144" t="s">
        <v>630</v>
      </c>
      <c r="D361" s="146" t="s">
        <v>630</v>
      </c>
      <c r="E361" s="145" t="n">
        <v>38</v>
      </c>
      <c r="F361" s="145" t="n">
        <v>96</v>
      </c>
      <c r="G361" s="146" t="s">
        <v>236</v>
      </c>
    </row>
    <row r="362" customFormat="false" ht="15.75" hidden="false" customHeight="true" outlineLevel="0" collapsed="false">
      <c r="A362" s="144" t="s">
        <v>1063</v>
      </c>
      <c r="B362" s="144" t="s">
        <v>1064</v>
      </c>
      <c r="C362" s="144"/>
      <c r="D362" s="146" t="s">
        <v>1064</v>
      </c>
      <c r="E362" s="145" t="n">
        <v>60000</v>
      </c>
      <c r="F362" s="145" t="n">
        <v>135000</v>
      </c>
      <c r="G362" s="146" t="s">
        <v>236</v>
      </c>
    </row>
    <row r="363" customFormat="false" ht="15.75" hidden="false" customHeight="true" outlineLevel="0" collapsed="false">
      <c r="A363" s="144" t="s">
        <v>1065</v>
      </c>
      <c r="B363" s="144"/>
      <c r="C363" s="144" t="s">
        <v>630</v>
      </c>
      <c r="D363" s="146" t="s">
        <v>630</v>
      </c>
      <c r="E363" s="145" t="n">
        <v>38</v>
      </c>
      <c r="F363" s="145" t="n">
        <v>96</v>
      </c>
      <c r="G363" s="146" t="s">
        <v>236</v>
      </c>
    </row>
    <row r="364" customFormat="false" ht="15.75" hidden="false" customHeight="true" outlineLevel="0" collapsed="false">
      <c r="A364" s="144" t="s">
        <v>1066</v>
      </c>
      <c r="B364" s="144"/>
      <c r="C364" s="144" t="s">
        <v>630</v>
      </c>
      <c r="D364" s="146" t="s">
        <v>630</v>
      </c>
      <c r="E364" s="145" t="n">
        <v>38</v>
      </c>
      <c r="F364" s="145" t="n">
        <v>96</v>
      </c>
      <c r="G364" s="146" t="s">
        <v>236</v>
      </c>
    </row>
    <row r="365" customFormat="false" ht="15.75" hidden="false" customHeight="true" outlineLevel="0" collapsed="false">
      <c r="A365" s="144" t="s">
        <v>1067</v>
      </c>
      <c r="B365" s="144"/>
      <c r="C365" s="144" t="s">
        <v>630</v>
      </c>
      <c r="D365" s="146" t="s">
        <v>630</v>
      </c>
      <c r="E365" s="145" t="n">
        <v>38</v>
      </c>
      <c r="F365" s="145" t="n">
        <v>96</v>
      </c>
      <c r="G365" s="146" t="s">
        <v>236</v>
      </c>
    </row>
    <row r="366" customFormat="false" ht="15.75" hidden="false" customHeight="true" outlineLevel="0" collapsed="false">
      <c r="A366" s="144" t="s">
        <v>1068</v>
      </c>
      <c r="B366" s="144" t="s">
        <v>1069</v>
      </c>
      <c r="C366" s="144"/>
      <c r="D366" s="146" t="s">
        <v>1069</v>
      </c>
      <c r="E366" s="145" t="n">
        <v>1361</v>
      </c>
      <c r="F366" s="145" t="n">
        <v>2268</v>
      </c>
      <c r="G366" s="146" t="s">
        <v>236</v>
      </c>
    </row>
    <row r="367" customFormat="false" ht="15.75" hidden="false" customHeight="true" outlineLevel="0" collapsed="false">
      <c r="A367" s="144" t="s">
        <v>580</v>
      </c>
      <c r="B367" s="144" t="s">
        <v>1070</v>
      </c>
      <c r="C367" s="144"/>
      <c r="D367" s="146" t="s">
        <v>1070</v>
      </c>
      <c r="E367" s="145" t="n">
        <v>6042</v>
      </c>
      <c r="F367" s="145" t="n">
        <v>6298</v>
      </c>
      <c r="G367" s="146" t="s">
        <v>236</v>
      </c>
    </row>
    <row r="368" customFormat="false" ht="15.75" hidden="false" customHeight="true" outlineLevel="0" collapsed="false">
      <c r="A368" s="144" t="s">
        <v>1071</v>
      </c>
      <c r="B368" s="144"/>
      <c r="C368" s="144" t="s">
        <v>630</v>
      </c>
      <c r="D368" s="146" t="s">
        <v>630</v>
      </c>
      <c r="E368" s="145" t="n">
        <v>38</v>
      </c>
      <c r="F368" s="145" t="n">
        <v>96</v>
      </c>
      <c r="G368" s="146" t="s">
        <v>236</v>
      </c>
    </row>
    <row r="369" customFormat="false" ht="15.75" hidden="false" customHeight="true" outlineLevel="0" collapsed="false">
      <c r="A369" s="144" t="s">
        <v>1072</v>
      </c>
      <c r="B369" s="144"/>
      <c r="C369" s="144" t="s">
        <v>630</v>
      </c>
      <c r="D369" s="146" t="s">
        <v>630</v>
      </c>
      <c r="E369" s="145" t="n">
        <v>38</v>
      </c>
      <c r="F369" s="145" t="n">
        <v>96</v>
      </c>
      <c r="G369" s="146" t="s">
        <v>236</v>
      </c>
    </row>
    <row r="370" customFormat="false" ht="15.75" hidden="false" customHeight="true" outlineLevel="0" collapsed="false">
      <c r="A370" s="144" t="s">
        <v>1073</v>
      </c>
      <c r="B370" s="144" t="s">
        <v>1074</v>
      </c>
      <c r="C370" s="144"/>
      <c r="D370" s="146" t="s">
        <v>1074</v>
      </c>
      <c r="E370" s="145" t="n">
        <v>660</v>
      </c>
      <c r="F370" s="145" t="n">
        <v>660</v>
      </c>
      <c r="G370" s="146" t="s">
        <v>236</v>
      </c>
    </row>
    <row r="371" customFormat="false" ht="15.75" hidden="false" customHeight="true" outlineLevel="0" collapsed="false">
      <c r="A371" s="144" t="s">
        <v>1075</v>
      </c>
      <c r="B371" s="144" t="s">
        <v>1076</v>
      </c>
      <c r="C371" s="144"/>
      <c r="D371" s="146" t="s">
        <v>1076</v>
      </c>
      <c r="E371" s="145" t="n">
        <v>737</v>
      </c>
      <c r="F371" s="145" t="n">
        <v>1260</v>
      </c>
      <c r="G371" s="146" t="s">
        <v>236</v>
      </c>
    </row>
    <row r="372" customFormat="false" ht="15.75" hidden="false" customHeight="true" outlineLevel="0" collapsed="false">
      <c r="A372" s="144" t="s">
        <v>1077</v>
      </c>
      <c r="B372" s="144" t="s">
        <v>1078</v>
      </c>
      <c r="C372" s="144"/>
      <c r="D372" s="146" t="s">
        <v>1078</v>
      </c>
      <c r="E372" s="145" t="n">
        <v>1814</v>
      </c>
      <c r="F372" s="145" t="n">
        <v>1814</v>
      </c>
      <c r="G372" s="146" t="s">
        <v>236</v>
      </c>
    </row>
    <row r="373" customFormat="false" ht="15.75" hidden="false" customHeight="true" outlineLevel="0" collapsed="false">
      <c r="A373" s="144" t="s">
        <v>1079</v>
      </c>
      <c r="B373" s="144"/>
      <c r="C373" s="144" t="s">
        <v>630</v>
      </c>
      <c r="D373" s="146" t="s">
        <v>630</v>
      </c>
      <c r="E373" s="145" t="n">
        <v>38</v>
      </c>
      <c r="F373" s="145" t="n">
        <v>96</v>
      </c>
      <c r="G373" s="146" t="s">
        <v>236</v>
      </c>
    </row>
    <row r="374" customFormat="false" ht="15.75" hidden="false" customHeight="true" outlineLevel="0" collapsed="false">
      <c r="A374" s="144" t="s">
        <v>1080</v>
      </c>
      <c r="B374" s="144" t="s">
        <v>1081</v>
      </c>
      <c r="C374" s="144"/>
      <c r="D374" s="146" t="s">
        <v>1081</v>
      </c>
      <c r="E374" s="145" t="n">
        <v>7000</v>
      </c>
      <c r="F374" s="145" t="n">
        <v>28333</v>
      </c>
      <c r="G374" s="146" t="s">
        <v>236</v>
      </c>
    </row>
    <row r="375" customFormat="false" ht="15.75" hidden="false" customHeight="true" outlineLevel="0" collapsed="false">
      <c r="A375" s="144" t="s">
        <v>1082</v>
      </c>
      <c r="B375" s="144" t="s">
        <v>1083</v>
      </c>
      <c r="C375" s="144"/>
      <c r="D375" s="146" t="s">
        <v>1083</v>
      </c>
      <c r="E375" s="145" t="n">
        <v>1000</v>
      </c>
      <c r="F375" s="145" t="n">
        <v>2300</v>
      </c>
      <c r="G375" s="146" t="s">
        <v>236</v>
      </c>
    </row>
    <row r="376" customFormat="false" ht="15.75" hidden="false" customHeight="true" outlineLevel="0" collapsed="false">
      <c r="A376" s="144" t="s">
        <v>207</v>
      </c>
      <c r="B376" s="144"/>
      <c r="C376" s="144" t="s">
        <v>630</v>
      </c>
      <c r="D376" s="146" t="s">
        <v>630</v>
      </c>
      <c r="E376" s="145" t="n">
        <v>38</v>
      </c>
      <c r="F376" s="145" t="n">
        <v>96</v>
      </c>
      <c r="G376" s="146" t="s">
        <v>236</v>
      </c>
    </row>
    <row r="377" customFormat="false" ht="15.75" hidden="false" customHeight="true" outlineLevel="0" collapsed="false">
      <c r="A377" s="144" t="s">
        <v>1084</v>
      </c>
      <c r="B377" s="144" t="s">
        <v>1085</v>
      </c>
      <c r="C377" s="144"/>
      <c r="D377" s="146" t="s">
        <v>1085</v>
      </c>
      <c r="E377" s="145" t="n">
        <v>81</v>
      </c>
      <c r="F377" s="145" t="n">
        <v>1000</v>
      </c>
      <c r="G377" s="146" t="s">
        <v>236</v>
      </c>
    </row>
    <row r="378" customFormat="false" ht="15.75" hidden="false" customHeight="true" outlineLevel="0" collapsed="false">
      <c r="A378" s="144" t="s">
        <v>1086</v>
      </c>
      <c r="B378" s="144"/>
      <c r="C378" s="144" t="s">
        <v>630</v>
      </c>
      <c r="D378" s="146" t="s">
        <v>630</v>
      </c>
      <c r="E378" s="145" t="n">
        <v>38</v>
      </c>
      <c r="F378" s="145" t="n">
        <v>96</v>
      </c>
      <c r="G378" s="146" t="s">
        <v>236</v>
      </c>
    </row>
    <row r="379" customFormat="false" ht="15.75" hidden="false" customHeight="true" outlineLevel="0" collapsed="false">
      <c r="A379" s="144" t="s">
        <v>1087</v>
      </c>
      <c r="B379" s="144" t="s">
        <v>761</v>
      </c>
      <c r="C379" s="144"/>
      <c r="D379" s="146" t="s">
        <v>761</v>
      </c>
      <c r="E379" s="145" t="n">
        <v>1500</v>
      </c>
      <c r="F379" s="145" t="n">
        <v>1500</v>
      </c>
      <c r="G379" s="146" t="s">
        <v>236</v>
      </c>
    </row>
    <row r="380" customFormat="false" ht="15.75" hidden="false" customHeight="true" outlineLevel="0" collapsed="false">
      <c r="A380" s="144" t="s">
        <v>1088</v>
      </c>
      <c r="B380" s="144"/>
      <c r="C380" s="144" t="s">
        <v>630</v>
      </c>
      <c r="D380" s="146" t="s">
        <v>630</v>
      </c>
      <c r="E380" s="145" t="n">
        <v>38</v>
      </c>
      <c r="F380" s="145" t="n">
        <v>96</v>
      </c>
      <c r="G380" s="146" t="s">
        <v>236</v>
      </c>
    </row>
    <row r="381" customFormat="false" ht="15.75" hidden="false" customHeight="true" outlineLevel="0" collapsed="false">
      <c r="A381" s="144" t="s">
        <v>1089</v>
      </c>
      <c r="B381" s="144" t="s">
        <v>1090</v>
      </c>
      <c r="C381" s="144"/>
      <c r="D381" s="146" t="s">
        <v>1090</v>
      </c>
      <c r="E381" s="145" t="n">
        <v>300</v>
      </c>
      <c r="F381" s="145" t="n">
        <v>1000</v>
      </c>
      <c r="G381" s="146" t="s">
        <v>236</v>
      </c>
    </row>
    <row r="382" customFormat="false" ht="15.75" hidden="false" customHeight="true" outlineLevel="0" collapsed="false">
      <c r="A382" s="144" t="s">
        <v>1091</v>
      </c>
      <c r="B382" s="144" t="s">
        <v>1092</v>
      </c>
      <c r="C382" s="144"/>
      <c r="D382" s="146" t="s">
        <v>1092</v>
      </c>
      <c r="E382" s="145" t="n">
        <v>166</v>
      </c>
      <c r="F382" s="145" t="n">
        <v>178</v>
      </c>
      <c r="G382" s="146" t="s">
        <v>236</v>
      </c>
    </row>
    <row r="383" customFormat="false" ht="15.75" hidden="false" customHeight="true" outlineLevel="0" collapsed="false">
      <c r="A383" s="144" t="s">
        <v>1093</v>
      </c>
      <c r="B383" s="144"/>
      <c r="C383" s="144" t="s">
        <v>630</v>
      </c>
      <c r="D383" s="146" t="s">
        <v>630</v>
      </c>
      <c r="E383" s="145" t="n">
        <v>38</v>
      </c>
      <c r="F383" s="145" t="n">
        <v>96</v>
      </c>
      <c r="G383" s="146" t="s">
        <v>236</v>
      </c>
    </row>
    <row r="384" customFormat="false" ht="15.75" hidden="false" customHeight="true" outlineLevel="0" collapsed="false">
      <c r="A384" s="144" t="s">
        <v>1094</v>
      </c>
      <c r="B384" s="144"/>
      <c r="C384" s="144" t="s">
        <v>630</v>
      </c>
      <c r="D384" s="146" t="s">
        <v>630</v>
      </c>
      <c r="E384" s="145" t="n">
        <v>38</v>
      </c>
      <c r="F384" s="145" t="n">
        <v>96</v>
      </c>
      <c r="G384" s="146" t="s">
        <v>236</v>
      </c>
    </row>
    <row r="385" customFormat="false" ht="15.75" hidden="false" customHeight="true" outlineLevel="0" collapsed="false">
      <c r="A385" s="144" t="s">
        <v>1095</v>
      </c>
      <c r="B385" s="144" t="s">
        <v>1096</v>
      </c>
      <c r="C385" s="144"/>
      <c r="D385" s="146" t="s">
        <v>1096</v>
      </c>
      <c r="E385" s="145" t="n">
        <v>649</v>
      </c>
      <c r="F385" s="145" t="n">
        <v>885</v>
      </c>
      <c r="G385" s="146" t="s">
        <v>236</v>
      </c>
    </row>
    <row r="386" customFormat="false" ht="15.75" hidden="false" customHeight="true" outlineLevel="0" collapsed="false">
      <c r="A386" s="144" t="s">
        <v>1097</v>
      </c>
      <c r="B386" s="144" t="s">
        <v>666</v>
      </c>
      <c r="C386" s="144"/>
      <c r="D386" s="146" t="s">
        <v>666</v>
      </c>
      <c r="E386" s="145" t="n">
        <v>1400</v>
      </c>
      <c r="F386" s="145" t="n">
        <v>1400</v>
      </c>
      <c r="G386" s="146" t="s">
        <v>236</v>
      </c>
    </row>
    <row r="387" customFormat="false" ht="15.75" hidden="false" customHeight="true" outlineLevel="0" collapsed="false">
      <c r="A387" s="144" t="s">
        <v>1098</v>
      </c>
      <c r="B387" s="144"/>
      <c r="C387" s="144" t="s">
        <v>630</v>
      </c>
      <c r="D387" s="146" t="s">
        <v>630</v>
      </c>
      <c r="E387" s="145" t="n">
        <v>38</v>
      </c>
      <c r="F387" s="145" t="n">
        <v>96</v>
      </c>
      <c r="G387" s="146" t="s">
        <v>236</v>
      </c>
    </row>
    <row r="388" customFormat="false" ht="15.75" hidden="false" customHeight="true" outlineLevel="0" collapsed="false">
      <c r="A388" s="144" t="s">
        <v>1099</v>
      </c>
      <c r="B388" s="144"/>
      <c r="C388" s="144" t="s">
        <v>630</v>
      </c>
      <c r="D388" s="146" t="s">
        <v>630</v>
      </c>
      <c r="E388" s="145" t="n">
        <v>38</v>
      </c>
      <c r="F388" s="145" t="n">
        <v>96</v>
      </c>
      <c r="G388" s="146" t="s">
        <v>236</v>
      </c>
    </row>
    <row r="389" customFormat="false" ht="15.75" hidden="false" customHeight="true" outlineLevel="0" collapsed="false">
      <c r="A389" s="144" t="s">
        <v>1100</v>
      </c>
      <c r="B389" s="144"/>
      <c r="C389" s="144" t="s">
        <v>630</v>
      </c>
      <c r="D389" s="146" t="s">
        <v>630</v>
      </c>
      <c r="E389" s="145" t="n">
        <v>38</v>
      </c>
      <c r="F389" s="145" t="n">
        <v>96</v>
      </c>
      <c r="G389" s="146" t="s">
        <v>236</v>
      </c>
    </row>
    <row r="390" customFormat="false" ht="15.75" hidden="false" customHeight="true" outlineLevel="0" collapsed="false">
      <c r="A390" s="144" t="s">
        <v>1101</v>
      </c>
      <c r="B390" s="144"/>
      <c r="C390" s="144" t="s">
        <v>630</v>
      </c>
      <c r="D390" s="146" t="s">
        <v>630</v>
      </c>
      <c r="E390" s="145" t="n">
        <v>38</v>
      </c>
      <c r="F390" s="145" t="n">
        <v>96</v>
      </c>
      <c r="G390" s="146" t="s">
        <v>236</v>
      </c>
    </row>
    <row r="391" customFormat="false" ht="15.75" hidden="false" customHeight="true" outlineLevel="0" collapsed="false">
      <c r="A391" s="144" t="s">
        <v>1102</v>
      </c>
      <c r="B391" s="144" t="s">
        <v>1103</v>
      </c>
      <c r="C391" s="144"/>
      <c r="D391" s="146" t="s">
        <v>1103</v>
      </c>
      <c r="E391" s="145" t="n">
        <v>83</v>
      </c>
      <c r="F391" s="145" t="n">
        <v>112</v>
      </c>
      <c r="G391" s="146" t="s">
        <v>236</v>
      </c>
    </row>
    <row r="392" customFormat="false" ht="15.75" hidden="false" customHeight="true" outlineLevel="0" collapsed="false">
      <c r="A392" s="144" t="s">
        <v>1104</v>
      </c>
      <c r="B392" s="144"/>
      <c r="C392" s="144" t="s">
        <v>630</v>
      </c>
      <c r="D392" s="146" t="s">
        <v>630</v>
      </c>
      <c r="E392" s="145" t="n">
        <v>38</v>
      </c>
      <c r="F392" s="145" t="n">
        <v>96</v>
      </c>
      <c r="G392" s="146" t="s">
        <v>236</v>
      </c>
    </row>
    <row r="393" customFormat="false" ht="15.75" hidden="false" customHeight="true" outlineLevel="0" collapsed="false">
      <c r="A393" s="144" t="s">
        <v>1105</v>
      </c>
      <c r="B393" s="144"/>
      <c r="C393" s="144" t="s">
        <v>630</v>
      </c>
      <c r="D393" s="146" t="s">
        <v>630</v>
      </c>
      <c r="E393" s="145" t="n">
        <v>38</v>
      </c>
      <c r="F393" s="145" t="n">
        <v>96</v>
      </c>
      <c r="G393" s="146" t="s">
        <v>236</v>
      </c>
    </row>
    <row r="394" customFormat="false" ht="15.75" hidden="false" customHeight="true" outlineLevel="0" collapsed="false">
      <c r="A394" s="144" t="s">
        <v>1106</v>
      </c>
      <c r="B394" s="144" t="s">
        <v>1107</v>
      </c>
      <c r="C394" s="144"/>
      <c r="D394" s="146" t="s">
        <v>1107</v>
      </c>
      <c r="E394" s="145" t="n">
        <v>210</v>
      </c>
      <c r="F394" s="145" t="n">
        <v>329</v>
      </c>
      <c r="G394" s="146" t="s">
        <v>236</v>
      </c>
    </row>
    <row r="395" customFormat="false" ht="15.75" hidden="false" customHeight="true" outlineLevel="0" collapsed="false">
      <c r="A395" s="144" t="s">
        <v>1108</v>
      </c>
      <c r="B395" s="144" t="s">
        <v>982</v>
      </c>
      <c r="C395" s="144"/>
      <c r="D395" s="146" t="s">
        <v>982</v>
      </c>
      <c r="E395" s="145" t="n">
        <v>10000</v>
      </c>
      <c r="F395" s="145" t="n">
        <v>10000</v>
      </c>
      <c r="G395" s="146" t="s">
        <v>236</v>
      </c>
    </row>
    <row r="396" customFormat="false" ht="15.75" hidden="false" customHeight="true" outlineLevel="0" collapsed="false">
      <c r="A396" s="144" t="s">
        <v>1109</v>
      </c>
      <c r="B396" s="144"/>
      <c r="C396" s="144" t="s">
        <v>714</v>
      </c>
      <c r="D396" s="146" t="s">
        <v>714</v>
      </c>
      <c r="E396" s="145" t="n">
        <v>5950</v>
      </c>
      <c r="F396" s="145" t="n">
        <v>10539</v>
      </c>
      <c r="G396" s="146" t="s">
        <v>236</v>
      </c>
    </row>
    <row r="397" customFormat="false" ht="15.75" hidden="false" customHeight="true" outlineLevel="0" collapsed="false">
      <c r="A397" s="144" t="s">
        <v>1110</v>
      </c>
      <c r="B397" s="144"/>
      <c r="C397" s="144" t="s">
        <v>630</v>
      </c>
      <c r="D397" s="146" t="s">
        <v>630</v>
      </c>
      <c r="E397" s="145" t="n">
        <v>38</v>
      </c>
      <c r="F397" s="145" t="n">
        <v>96</v>
      </c>
      <c r="G397" s="146" t="s">
        <v>236</v>
      </c>
    </row>
    <row r="398" customFormat="false" ht="15.75" hidden="false" customHeight="true" outlineLevel="0" collapsed="false">
      <c r="A398" s="144" t="s">
        <v>1111</v>
      </c>
      <c r="B398" s="144"/>
      <c r="C398" s="144" t="s">
        <v>630</v>
      </c>
      <c r="D398" s="146" t="s">
        <v>630</v>
      </c>
      <c r="E398" s="145" t="n">
        <v>38</v>
      </c>
      <c r="F398" s="145" t="n">
        <v>96</v>
      </c>
      <c r="G398" s="146" t="s">
        <v>236</v>
      </c>
    </row>
    <row r="399" customFormat="false" ht="15.75" hidden="false" customHeight="true" outlineLevel="0" collapsed="false">
      <c r="A399" s="144" t="s">
        <v>1112</v>
      </c>
      <c r="B399" s="144" t="s">
        <v>1113</v>
      </c>
      <c r="C399" s="144"/>
      <c r="D399" s="146" t="s">
        <v>1113</v>
      </c>
      <c r="E399" s="145" t="n">
        <v>3182</v>
      </c>
      <c r="F399" s="145" t="n">
        <v>6818</v>
      </c>
      <c r="G399" s="146" t="s">
        <v>236</v>
      </c>
    </row>
    <row r="400" customFormat="false" ht="15.75" hidden="false" customHeight="true" outlineLevel="0" collapsed="false">
      <c r="A400" s="144" t="s">
        <v>1114</v>
      </c>
      <c r="B400" s="144" t="s">
        <v>1115</v>
      </c>
      <c r="C400" s="144"/>
      <c r="D400" s="146" t="s">
        <v>1115</v>
      </c>
      <c r="E400" s="145" t="n">
        <v>368</v>
      </c>
      <c r="F400" s="145" t="n">
        <v>754</v>
      </c>
      <c r="G400" s="146" t="s">
        <v>236</v>
      </c>
    </row>
    <row r="401" customFormat="false" ht="15.75" hidden="false" customHeight="true" outlineLevel="0" collapsed="false">
      <c r="A401" s="144" t="s">
        <v>1116</v>
      </c>
      <c r="B401" s="144"/>
      <c r="C401" s="144" t="s">
        <v>630</v>
      </c>
      <c r="D401" s="146" t="s">
        <v>630</v>
      </c>
      <c r="E401" s="145" t="n">
        <v>38</v>
      </c>
      <c r="F401" s="145" t="n">
        <v>96</v>
      </c>
      <c r="G401" s="146" t="s">
        <v>236</v>
      </c>
    </row>
    <row r="402" customFormat="false" ht="15.75" hidden="false" customHeight="true" outlineLevel="0" collapsed="false">
      <c r="A402" s="144" t="s">
        <v>1117</v>
      </c>
      <c r="B402" s="144" t="s">
        <v>1118</v>
      </c>
      <c r="C402" s="144"/>
      <c r="D402" s="146" t="s">
        <v>1118</v>
      </c>
      <c r="E402" s="145" t="n">
        <v>69</v>
      </c>
      <c r="F402" s="145" t="n">
        <v>255</v>
      </c>
      <c r="G402" s="146" t="s">
        <v>236</v>
      </c>
    </row>
    <row r="403" customFormat="false" ht="15.75" hidden="false" customHeight="true" outlineLevel="0" collapsed="false">
      <c r="A403" s="144" t="s">
        <v>1119</v>
      </c>
      <c r="B403" s="144" t="s">
        <v>1120</v>
      </c>
      <c r="C403" s="144"/>
      <c r="D403" s="146" t="s">
        <v>1120</v>
      </c>
      <c r="E403" s="145" t="n">
        <v>56750</v>
      </c>
      <c r="F403" s="145" t="n">
        <v>113500</v>
      </c>
      <c r="G403" s="146" t="s">
        <v>236</v>
      </c>
    </row>
    <row r="404" customFormat="false" ht="15.75" hidden="false" customHeight="true" outlineLevel="0" collapsed="false">
      <c r="A404" s="144" t="s">
        <v>1121</v>
      </c>
      <c r="B404" s="144"/>
      <c r="C404" s="144" t="s">
        <v>630</v>
      </c>
      <c r="D404" s="146" t="s">
        <v>630</v>
      </c>
      <c r="E404" s="145" t="n">
        <v>38</v>
      </c>
      <c r="F404" s="145" t="n">
        <v>96</v>
      </c>
      <c r="G404" s="146" t="s">
        <v>236</v>
      </c>
    </row>
    <row r="405" customFormat="false" ht="15.75" hidden="false" customHeight="true" outlineLevel="0" collapsed="false">
      <c r="A405" s="144" t="s">
        <v>1122</v>
      </c>
      <c r="B405" s="144"/>
      <c r="C405" s="144" t="s">
        <v>630</v>
      </c>
      <c r="D405" s="146" t="s">
        <v>630</v>
      </c>
      <c r="E405" s="145" t="n">
        <v>38</v>
      </c>
      <c r="F405" s="145" t="n">
        <v>96</v>
      </c>
      <c r="G405" s="146" t="s">
        <v>236</v>
      </c>
    </row>
    <row r="406" customFormat="false" ht="15.75" hidden="false" customHeight="true" outlineLevel="0" collapsed="false">
      <c r="A406" s="144" t="s">
        <v>589</v>
      </c>
      <c r="B406" s="144" t="s">
        <v>1123</v>
      </c>
      <c r="C406" s="144"/>
      <c r="D406" s="146" t="s">
        <v>1123</v>
      </c>
      <c r="E406" s="145" t="n">
        <v>150</v>
      </c>
      <c r="F406" s="145" t="n">
        <v>150</v>
      </c>
      <c r="G406" s="146" t="s">
        <v>236</v>
      </c>
    </row>
    <row r="407" customFormat="false" ht="15.75" hidden="false" customHeight="true" outlineLevel="0" collapsed="false">
      <c r="A407" s="144" t="s">
        <v>1124</v>
      </c>
      <c r="B407" s="144"/>
      <c r="C407" s="144" t="s">
        <v>630</v>
      </c>
      <c r="D407" s="146" t="s">
        <v>630</v>
      </c>
      <c r="E407" s="145" t="n">
        <v>38</v>
      </c>
      <c r="F407" s="145" t="n">
        <v>96</v>
      </c>
      <c r="G407" s="146" t="s">
        <v>236</v>
      </c>
    </row>
    <row r="408" customFormat="false" ht="15.75" hidden="false" customHeight="true" outlineLevel="0" collapsed="false">
      <c r="A408" s="144" t="s">
        <v>1125</v>
      </c>
      <c r="B408" s="144"/>
      <c r="C408" s="144" t="s">
        <v>630</v>
      </c>
      <c r="D408" s="146" t="s">
        <v>630</v>
      </c>
      <c r="E408" s="145" t="n">
        <v>38</v>
      </c>
      <c r="F408" s="145" t="n">
        <v>96</v>
      </c>
      <c r="G408" s="146" t="s">
        <v>236</v>
      </c>
    </row>
    <row r="409" customFormat="false" ht="15.75" hidden="false" customHeight="true" outlineLevel="0" collapsed="false">
      <c r="A409" s="144" t="s">
        <v>1126</v>
      </c>
      <c r="B409" s="144"/>
      <c r="C409" s="144" t="s">
        <v>630</v>
      </c>
      <c r="D409" s="146" t="s">
        <v>630</v>
      </c>
      <c r="E409" s="145" t="n">
        <v>38</v>
      </c>
      <c r="F409" s="145" t="n">
        <v>96</v>
      </c>
      <c r="G409" s="146" t="s">
        <v>236</v>
      </c>
    </row>
    <row r="410" customFormat="false" ht="15.75" hidden="false" customHeight="true" outlineLevel="0" collapsed="false">
      <c r="A410" s="144" t="s">
        <v>1127</v>
      </c>
      <c r="B410" s="144"/>
      <c r="C410" s="144" t="s">
        <v>630</v>
      </c>
      <c r="D410" s="146" t="s">
        <v>630</v>
      </c>
      <c r="E410" s="145" t="n">
        <v>38</v>
      </c>
      <c r="F410" s="145" t="n">
        <v>96</v>
      </c>
      <c r="G410" s="146" t="s">
        <v>236</v>
      </c>
    </row>
    <row r="411" customFormat="false" ht="15.75" hidden="false" customHeight="true" outlineLevel="0" collapsed="false">
      <c r="A411" s="144" t="s">
        <v>1128</v>
      </c>
      <c r="B411" s="144"/>
      <c r="C411" s="144" t="s">
        <v>630</v>
      </c>
      <c r="D411" s="146" t="s">
        <v>630</v>
      </c>
      <c r="E411" s="145" t="n">
        <v>38</v>
      </c>
      <c r="F411" s="145" t="n">
        <v>96</v>
      </c>
      <c r="G411" s="146" t="s">
        <v>236</v>
      </c>
    </row>
    <row r="412" customFormat="false" ht="15.75" hidden="false" customHeight="true" outlineLevel="0" collapsed="false">
      <c r="A412" s="144" t="s">
        <v>1129</v>
      </c>
      <c r="B412" s="144" t="s">
        <v>1130</v>
      </c>
      <c r="C412" s="144"/>
      <c r="D412" s="146" t="s">
        <v>1130</v>
      </c>
      <c r="E412" s="145" t="n">
        <v>499</v>
      </c>
      <c r="F412" s="145" t="n">
        <v>499</v>
      </c>
      <c r="G412" s="146" t="s">
        <v>236</v>
      </c>
    </row>
    <row r="413" customFormat="false" ht="15.75" hidden="false" customHeight="true" outlineLevel="0" collapsed="false">
      <c r="A413" s="144" t="s">
        <v>1131</v>
      </c>
      <c r="B413" s="144"/>
      <c r="C413" s="144" t="s">
        <v>630</v>
      </c>
      <c r="D413" s="146" t="s">
        <v>630</v>
      </c>
      <c r="E413" s="145" t="n">
        <v>38</v>
      </c>
      <c r="F413" s="145" t="n">
        <v>96</v>
      </c>
      <c r="G413" s="146" t="s">
        <v>236</v>
      </c>
    </row>
    <row r="414" customFormat="false" ht="15.75" hidden="false" customHeight="true" outlineLevel="0" collapsed="false">
      <c r="A414" s="144" t="s">
        <v>1132</v>
      </c>
      <c r="B414" s="144"/>
      <c r="C414" s="144" t="s">
        <v>714</v>
      </c>
      <c r="D414" s="146" t="s">
        <v>714</v>
      </c>
      <c r="E414" s="145" t="n">
        <v>5950</v>
      </c>
      <c r="F414" s="145" t="n">
        <v>10539</v>
      </c>
      <c r="G414" s="146" t="s">
        <v>236</v>
      </c>
    </row>
    <row r="415" customFormat="false" ht="15.75" hidden="false" customHeight="true" outlineLevel="0" collapsed="false">
      <c r="A415" s="144" t="s">
        <v>1133</v>
      </c>
      <c r="B415" s="144"/>
      <c r="C415" s="144" t="s">
        <v>630</v>
      </c>
      <c r="D415" s="146" t="s">
        <v>630</v>
      </c>
      <c r="E415" s="145" t="n">
        <v>38</v>
      </c>
      <c r="F415" s="145" t="n">
        <v>96</v>
      </c>
      <c r="G415" s="146" t="s">
        <v>236</v>
      </c>
    </row>
    <row r="416" customFormat="false" ht="15.75" hidden="false" customHeight="true" outlineLevel="0" collapsed="false">
      <c r="A416" s="144" t="s">
        <v>1134</v>
      </c>
      <c r="B416" s="144" t="s">
        <v>1135</v>
      </c>
      <c r="C416" s="144"/>
      <c r="D416" s="146" t="s">
        <v>1135</v>
      </c>
      <c r="E416" s="145" t="n">
        <v>500</v>
      </c>
      <c r="F416" s="145" t="n">
        <v>600</v>
      </c>
      <c r="G416" s="146" t="s">
        <v>236</v>
      </c>
    </row>
    <row r="417" customFormat="false" ht="15.75" hidden="false" customHeight="true" outlineLevel="0" collapsed="false">
      <c r="A417" s="144" t="s">
        <v>1136</v>
      </c>
      <c r="B417" s="144" t="s">
        <v>1137</v>
      </c>
      <c r="C417" s="144"/>
      <c r="D417" s="146" t="s">
        <v>1137</v>
      </c>
      <c r="E417" s="145" t="n">
        <v>750</v>
      </c>
      <c r="F417" s="145" t="n">
        <v>2000</v>
      </c>
      <c r="G417" s="146" t="s">
        <v>236</v>
      </c>
    </row>
    <row r="418" customFormat="false" ht="15.75" hidden="false" customHeight="true" outlineLevel="0" collapsed="false">
      <c r="A418" s="144" t="s">
        <v>558</v>
      </c>
      <c r="B418" s="144" t="s">
        <v>1138</v>
      </c>
      <c r="C418" s="144"/>
      <c r="D418" s="146" t="s">
        <v>1138</v>
      </c>
      <c r="E418" s="145" t="n">
        <v>300</v>
      </c>
      <c r="F418" s="145" t="n">
        <v>10000</v>
      </c>
      <c r="G418" s="146" t="s">
        <v>236</v>
      </c>
    </row>
    <row r="419" customFormat="false" ht="15.75" hidden="false" customHeight="true" outlineLevel="0" collapsed="false">
      <c r="A419" s="144" t="s">
        <v>1139</v>
      </c>
      <c r="B419" s="144"/>
      <c r="C419" s="144" t="s">
        <v>630</v>
      </c>
      <c r="D419" s="146" t="s">
        <v>630</v>
      </c>
      <c r="E419" s="145" t="n">
        <v>38</v>
      </c>
      <c r="F419" s="145" t="n">
        <v>96</v>
      </c>
      <c r="G419" s="146" t="s">
        <v>236</v>
      </c>
    </row>
    <row r="420" customFormat="false" ht="15.75" hidden="false" customHeight="true" outlineLevel="0" collapsed="false">
      <c r="A420" s="144" t="s">
        <v>1140</v>
      </c>
      <c r="B420" s="144"/>
      <c r="C420" s="144" t="s">
        <v>630</v>
      </c>
      <c r="D420" s="146" t="s">
        <v>630</v>
      </c>
      <c r="E420" s="145" t="n">
        <v>38</v>
      </c>
      <c r="F420" s="145" t="n">
        <v>96</v>
      </c>
      <c r="G420" s="146" t="s">
        <v>236</v>
      </c>
    </row>
    <row r="421" customFormat="false" ht="15.75" hidden="false" customHeight="true" outlineLevel="0" collapsed="false">
      <c r="A421" s="144" t="s">
        <v>1141</v>
      </c>
      <c r="B421" s="144"/>
      <c r="C421" s="144" t="s">
        <v>630</v>
      </c>
      <c r="D421" s="146" t="s">
        <v>630</v>
      </c>
      <c r="E421" s="145" t="n">
        <v>38</v>
      </c>
      <c r="F421" s="145" t="n">
        <v>96</v>
      </c>
      <c r="G421" s="146" t="s">
        <v>236</v>
      </c>
    </row>
    <row r="422" customFormat="false" ht="15.75" hidden="false" customHeight="true" outlineLevel="0" collapsed="false">
      <c r="A422" s="144" t="s">
        <v>1142</v>
      </c>
      <c r="B422" s="144"/>
      <c r="C422" s="144" t="s">
        <v>630</v>
      </c>
      <c r="D422" s="146" t="s">
        <v>630</v>
      </c>
      <c r="E422" s="145" t="n">
        <v>38</v>
      </c>
      <c r="F422" s="145" t="n">
        <v>96</v>
      </c>
      <c r="G422" s="146" t="s">
        <v>236</v>
      </c>
    </row>
    <row r="423" customFormat="false" ht="15.75" hidden="false" customHeight="true" outlineLevel="0" collapsed="false">
      <c r="A423" s="144" t="s">
        <v>1143</v>
      </c>
      <c r="B423" s="144"/>
      <c r="C423" s="144" t="s">
        <v>630</v>
      </c>
      <c r="D423" s="146" t="s">
        <v>630</v>
      </c>
      <c r="E423" s="145" t="n">
        <v>38</v>
      </c>
      <c r="F423" s="145" t="n">
        <v>96</v>
      </c>
      <c r="G423" s="146" t="s">
        <v>236</v>
      </c>
    </row>
    <row r="424" customFormat="false" ht="15.75" hidden="false" customHeight="true" outlineLevel="0" collapsed="false">
      <c r="A424" s="144" t="s">
        <v>1144</v>
      </c>
      <c r="B424" s="144" t="s">
        <v>1145</v>
      </c>
      <c r="C424" s="144"/>
      <c r="D424" s="146" t="s">
        <v>1145</v>
      </c>
      <c r="E424" s="145" t="n">
        <v>8341</v>
      </c>
      <c r="F424" s="145" t="n">
        <v>8341</v>
      </c>
      <c r="G424" s="146" t="s">
        <v>236</v>
      </c>
    </row>
    <row r="425" customFormat="false" ht="15.75" hidden="false" customHeight="true" outlineLevel="0" collapsed="false">
      <c r="A425" s="144" t="s">
        <v>1146</v>
      </c>
      <c r="B425" s="144" t="s">
        <v>570</v>
      </c>
      <c r="C425" s="144"/>
      <c r="D425" s="146" t="s">
        <v>570</v>
      </c>
      <c r="E425" s="145" t="n">
        <v>1000</v>
      </c>
      <c r="F425" s="145" t="n">
        <v>1000</v>
      </c>
      <c r="G425" s="146" t="s">
        <v>236</v>
      </c>
    </row>
    <row r="426" customFormat="false" ht="15.75" hidden="false" customHeight="true" outlineLevel="0" collapsed="false">
      <c r="A426" s="144" t="s">
        <v>1147</v>
      </c>
      <c r="B426" s="144" t="s">
        <v>1148</v>
      </c>
      <c r="C426" s="144"/>
      <c r="D426" s="146" t="s">
        <v>1148</v>
      </c>
      <c r="E426" s="145" t="n">
        <v>4</v>
      </c>
      <c r="F426" s="145" t="n">
        <v>33</v>
      </c>
      <c r="G426" s="146" t="s">
        <v>236</v>
      </c>
    </row>
    <row r="427" customFormat="false" ht="15.75" hidden="false" customHeight="true" outlineLevel="0" collapsed="false">
      <c r="A427" s="144" t="s">
        <v>1149</v>
      </c>
      <c r="B427" s="144"/>
      <c r="C427" s="144" t="s">
        <v>630</v>
      </c>
      <c r="D427" s="146" t="s">
        <v>630</v>
      </c>
      <c r="E427" s="145" t="n">
        <v>38</v>
      </c>
      <c r="F427" s="145" t="n">
        <v>96</v>
      </c>
      <c r="G427" s="146" t="s">
        <v>236</v>
      </c>
    </row>
    <row r="428" customFormat="false" ht="15.75" hidden="false" customHeight="true" outlineLevel="0" collapsed="false">
      <c r="A428" s="144" t="s">
        <v>1150</v>
      </c>
      <c r="B428" s="144" t="s">
        <v>1151</v>
      </c>
      <c r="C428" s="144"/>
      <c r="D428" s="146" t="s">
        <v>1151</v>
      </c>
      <c r="E428" s="145" t="n">
        <v>907</v>
      </c>
      <c r="F428" s="145" t="n">
        <v>2722</v>
      </c>
      <c r="G428" s="146" t="s">
        <v>236</v>
      </c>
    </row>
    <row r="429" customFormat="false" ht="15.75" hidden="false" customHeight="true" outlineLevel="0" collapsed="false">
      <c r="A429" s="144" t="s">
        <v>1152</v>
      </c>
      <c r="B429" s="144"/>
      <c r="C429" s="144" t="s">
        <v>630</v>
      </c>
      <c r="D429" s="146" t="s">
        <v>630</v>
      </c>
      <c r="E429" s="145" t="n">
        <v>38</v>
      </c>
      <c r="F429" s="145" t="n">
        <v>96</v>
      </c>
      <c r="G429" s="146" t="s">
        <v>236</v>
      </c>
    </row>
    <row r="430" customFormat="false" ht="15.75" hidden="false" customHeight="true" outlineLevel="0" collapsed="false">
      <c r="A430" s="144" t="s">
        <v>1153</v>
      </c>
      <c r="B430" s="144"/>
      <c r="C430" s="144" t="s">
        <v>630</v>
      </c>
      <c r="D430" s="146" t="s">
        <v>630</v>
      </c>
      <c r="E430" s="145" t="n">
        <v>38</v>
      </c>
      <c r="F430" s="145" t="n">
        <v>96</v>
      </c>
      <c r="G430" s="146" t="s">
        <v>236</v>
      </c>
    </row>
    <row r="431" customFormat="false" ht="15.75" hidden="false" customHeight="true" outlineLevel="0" collapsed="false">
      <c r="A431" s="144" t="s">
        <v>1154</v>
      </c>
      <c r="B431" s="144" t="s">
        <v>1155</v>
      </c>
      <c r="C431" s="144"/>
      <c r="D431" s="146" t="s">
        <v>1155</v>
      </c>
      <c r="E431" s="145" t="n">
        <v>7</v>
      </c>
      <c r="F431" s="145" t="n">
        <v>567</v>
      </c>
      <c r="G431" s="146" t="s">
        <v>236</v>
      </c>
    </row>
    <row r="432" customFormat="false" ht="15.75" hidden="false" customHeight="true" outlineLevel="0" collapsed="false">
      <c r="A432" s="144" t="s">
        <v>1156</v>
      </c>
      <c r="B432" s="144" t="s">
        <v>1157</v>
      </c>
      <c r="C432" s="144"/>
      <c r="D432" s="146" t="s">
        <v>1157</v>
      </c>
      <c r="E432" s="145" t="n">
        <v>861</v>
      </c>
      <c r="F432" s="145" t="n">
        <v>890</v>
      </c>
      <c r="G432" s="146" t="s">
        <v>236</v>
      </c>
    </row>
    <row r="433" customFormat="false" ht="15.75" hidden="false" customHeight="true" outlineLevel="0" collapsed="false">
      <c r="A433" s="144" t="s">
        <v>1158</v>
      </c>
      <c r="B433" s="144"/>
      <c r="C433" s="144" t="s">
        <v>630</v>
      </c>
      <c r="D433" s="146" t="s">
        <v>630</v>
      </c>
      <c r="E433" s="145" t="n">
        <v>38</v>
      </c>
      <c r="F433" s="145" t="n">
        <v>96</v>
      </c>
      <c r="G433" s="146" t="s">
        <v>236</v>
      </c>
    </row>
    <row r="434" customFormat="false" ht="15.75" hidden="false" customHeight="true" outlineLevel="0" collapsed="false">
      <c r="A434" s="144" t="s">
        <v>1159</v>
      </c>
      <c r="B434" s="144"/>
      <c r="C434" s="144" t="s">
        <v>630</v>
      </c>
      <c r="D434" s="146" t="s">
        <v>630</v>
      </c>
      <c r="E434" s="145" t="n">
        <v>38</v>
      </c>
      <c r="F434" s="145" t="n">
        <v>96</v>
      </c>
      <c r="G434" s="146" t="s">
        <v>236</v>
      </c>
    </row>
    <row r="435" customFormat="false" ht="15.75" hidden="false" customHeight="true" outlineLevel="0" collapsed="false">
      <c r="A435" s="144" t="s">
        <v>1160</v>
      </c>
      <c r="B435" s="144" t="s">
        <v>1161</v>
      </c>
      <c r="C435" s="144"/>
      <c r="D435" s="146" t="s">
        <v>1161</v>
      </c>
      <c r="E435" s="145" t="n">
        <v>3</v>
      </c>
      <c r="F435" s="145" t="n">
        <v>40500</v>
      </c>
      <c r="G435" s="146" t="s">
        <v>236</v>
      </c>
    </row>
    <row r="436" customFormat="false" ht="15.75" hidden="false" customHeight="true" outlineLevel="0" collapsed="false">
      <c r="A436" s="144" t="s">
        <v>1162</v>
      </c>
      <c r="B436" s="144"/>
      <c r="C436" s="144" t="s">
        <v>630</v>
      </c>
      <c r="D436" s="146" t="s">
        <v>630</v>
      </c>
      <c r="E436" s="145" t="n">
        <v>38</v>
      </c>
      <c r="F436" s="145" t="n">
        <v>96</v>
      </c>
      <c r="G436" s="146" t="s">
        <v>236</v>
      </c>
    </row>
    <row r="437" customFormat="false" ht="15.75" hidden="false" customHeight="true" outlineLevel="0" collapsed="false">
      <c r="A437" s="144" t="s">
        <v>556</v>
      </c>
      <c r="B437" s="144" t="s">
        <v>1163</v>
      </c>
      <c r="C437" s="144"/>
      <c r="D437" s="146" t="s">
        <v>1163</v>
      </c>
      <c r="E437" s="145" t="n">
        <v>590</v>
      </c>
      <c r="F437" s="145" t="n">
        <v>6254</v>
      </c>
      <c r="G437" s="146" t="s">
        <v>236</v>
      </c>
    </row>
    <row r="438" customFormat="false" ht="15.75" hidden="false" customHeight="true" outlineLevel="0" collapsed="false">
      <c r="A438" s="144" t="s">
        <v>1164</v>
      </c>
      <c r="B438" s="144" t="s">
        <v>1165</v>
      </c>
      <c r="C438" s="144"/>
      <c r="D438" s="146" t="s">
        <v>1165</v>
      </c>
      <c r="E438" s="145" t="n">
        <v>6600</v>
      </c>
      <c r="F438" s="145" t="n">
        <v>9000</v>
      </c>
      <c r="G438" s="146" t="s">
        <v>236</v>
      </c>
    </row>
    <row r="439" customFormat="false" ht="15.75" hidden="false" customHeight="true" outlineLevel="0" collapsed="false">
      <c r="A439" s="144" t="s">
        <v>1166</v>
      </c>
      <c r="B439" s="144" t="s">
        <v>1167</v>
      </c>
      <c r="C439" s="144"/>
      <c r="D439" s="146" t="s">
        <v>1167</v>
      </c>
      <c r="E439" s="145" t="n">
        <v>953</v>
      </c>
      <c r="F439" s="145" t="n">
        <v>953</v>
      </c>
      <c r="G439" s="146" t="s">
        <v>236</v>
      </c>
    </row>
    <row r="440" customFormat="false" ht="15.75" hidden="false" customHeight="true" outlineLevel="0" collapsed="false">
      <c r="A440" s="144" t="s">
        <v>1168</v>
      </c>
      <c r="B440" s="144"/>
      <c r="C440" s="144" t="s">
        <v>630</v>
      </c>
      <c r="D440" s="146" t="s">
        <v>630</v>
      </c>
      <c r="E440" s="145" t="n">
        <v>38</v>
      </c>
      <c r="F440" s="145" t="n">
        <v>96</v>
      </c>
      <c r="G440" s="146" t="s">
        <v>236</v>
      </c>
    </row>
    <row r="441" customFormat="false" ht="15.75" hidden="false" customHeight="true" outlineLevel="0" collapsed="false">
      <c r="A441" s="144" t="s">
        <v>1169</v>
      </c>
      <c r="B441" s="144" t="s">
        <v>1170</v>
      </c>
      <c r="C441" s="144"/>
      <c r="D441" s="146" t="s">
        <v>1170</v>
      </c>
      <c r="E441" s="145" t="n">
        <v>1164</v>
      </c>
      <c r="F441" s="145" t="n">
        <v>1164</v>
      </c>
      <c r="G441" s="146" t="s">
        <v>236</v>
      </c>
    </row>
    <row r="442" customFormat="false" ht="15.75" hidden="false" customHeight="true" outlineLevel="0" collapsed="false">
      <c r="A442" s="144" t="s">
        <v>1171</v>
      </c>
      <c r="B442" s="144"/>
      <c r="C442" s="144" t="s">
        <v>630</v>
      </c>
      <c r="D442" s="146" t="s">
        <v>630</v>
      </c>
      <c r="E442" s="145" t="n">
        <v>38</v>
      </c>
      <c r="F442" s="145" t="n">
        <v>96</v>
      </c>
      <c r="G442" s="146" t="s">
        <v>236</v>
      </c>
    </row>
    <row r="443" customFormat="false" ht="15.75" hidden="false" customHeight="true" outlineLevel="0" collapsed="false">
      <c r="A443" s="144" t="s">
        <v>1172</v>
      </c>
      <c r="B443" s="144" t="s">
        <v>1173</v>
      </c>
      <c r="C443" s="144"/>
      <c r="D443" s="146" t="s">
        <v>1173</v>
      </c>
      <c r="E443" s="145" t="n">
        <v>907</v>
      </c>
      <c r="F443" s="145" t="n">
        <v>1814</v>
      </c>
      <c r="G443" s="146" t="s">
        <v>236</v>
      </c>
    </row>
    <row r="444" customFormat="false" ht="15.75" hidden="false" customHeight="true" outlineLevel="0" collapsed="false">
      <c r="A444" s="144" t="s">
        <v>1174</v>
      </c>
      <c r="B444" s="144"/>
      <c r="C444" s="144" t="s">
        <v>630</v>
      </c>
      <c r="D444" s="146" t="s">
        <v>630</v>
      </c>
      <c r="E444" s="145" t="n">
        <v>38</v>
      </c>
      <c r="F444" s="145" t="n">
        <v>96</v>
      </c>
      <c r="G444" s="146" t="s">
        <v>236</v>
      </c>
    </row>
    <row r="445" customFormat="false" ht="15.75" hidden="false" customHeight="true" outlineLevel="0" collapsed="false">
      <c r="A445" s="144" t="s">
        <v>1175</v>
      </c>
      <c r="B445" s="144"/>
      <c r="C445" s="144" t="s">
        <v>630</v>
      </c>
      <c r="D445" s="146" t="s">
        <v>630</v>
      </c>
      <c r="E445" s="145" t="n">
        <v>38</v>
      </c>
      <c r="F445" s="145" t="n">
        <v>96</v>
      </c>
      <c r="G445" s="146" t="s">
        <v>236</v>
      </c>
    </row>
    <row r="446" customFormat="false" ht="15.75" hidden="false" customHeight="true" outlineLevel="0" collapsed="false">
      <c r="A446" s="144" t="s">
        <v>1176</v>
      </c>
      <c r="B446" s="144"/>
      <c r="C446" s="144" t="s">
        <v>630</v>
      </c>
      <c r="D446" s="146" t="s">
        <v>630</v>
      </c>
      <c r="E446" s="145" t="n">
        <v>38</v>
      </c>
      <c r="F446" s="145" t="n">
        <v>96</v>
      </c>
      <c r="G446" s="146" t="s">
        <v>236</v>
      </c>
    </row>
    <row r="447" customFormat="false" ht="15.75" hidden="false" customHeight="true" outlineLevel="0" collapsed="false">
      <c r="A447" s="144" t="s">
        <v>1177</v>
      </c>
      <c r="B447" s="144"/>
      <c r="C447" s="144" t="s">
        <v>630</v>
      </c>
      <c r="D447" s="146" t="s">
        <v>630</v>
      </c>
      <c r="E447" s="145" t="n">
        <v>38</v>
      </c>
      <c r="F447" s="145" t="n">
        <v>96</v>
      </c>
      <c r="G447" s="146" t="s">
        <v>236</v>
      </c>
    </row>
    <row r="448" customFormat="false" ht="15.75" hidden="false" customHeight="true" outlineLevel="0" collapsed="false">
      <c r="A448" s="144" t="s">
        <v>1178</v>
      </c>
      <c r="B448" s="144"/>
      <c r="C448" s="144" t="s">
        <v>630</v>
      </c>
      <c r="D448" s="146" t="s">
        <v>630</v>
      </c>
      <c r="E448" s="145" t="n">
        <v>38</v>
      </c>
      <c r="F448" s="145" t="n">
        <v>96</v>
      </c>
      <c r="G448" s="146" t="s">
        <v>236</v>
      </c>
    </row>
    <row r="449" customFormat="false" ht="15.75" hidden="false" customHeight="true" outlineLevel="0" collapsed="false">
      <c r="A449" s="144" t="s">
        <v>1179</v>
      </c>
      <c r="B449" s="144"/>
      <c r="C449" s="144" t="s">
        <v>630</v>
      </c>
      <c r="D449" s="146" t="s">
        <v>630</v>
      </c>
      <c r="E449" s="145" t="n">
        <v>38</v>
      </c>
      <c r="F449" s="145" t="n">
        <v>96</v>
      </c>
      <c r="G449" s="146" t="s">
        <v>236</v>
      </c>
    </row>
    <row r="450" customFormat="false" ht="15.75" hidden="false" customHeight="true" outlineLevel="0" collapsed="false">
      <c r="A450" s="144" t="s">
        <v>1180</v>
      </c>
      <c r="B450" s="144" t="s">
        <v>1181</v>
      </c>
      <c r="C450" s="144"/>
      <c r="D450" s="146" t="s">
        <v>1181</v>
      </c>
      <c r="E450" s="145" t="n">
        <v>3300</v>
      </c>
      <c r="F450" s="145" t="n">
        <v>4500</v>
      </c>
      <c r="G450" s="146" t="s">
        <v>236</v>
      </c>
    </row>
    <row r="451" customFormat="false" ht="15.75" hidden="false" customHeight="true" outlineLevel="0" collapsed="false">
      <c r="A451" s="144" t="s">
        <v>1182</v>
      </c>
      <c r="B451" s="144" t="s">
        <v>1183</v>
      </c>
      <c r="C451" s="144"/>
      <c r="D451" s="146" t="s">
        <v>1183</v>
      </c>
      <c r="E451" s="145" t="n">
        <v>850</v>
      </c>
      <c r="F451" s="145" t="n">
        <v>850</v>
      </c>
      <c r="G451" s="146" t="s">
        <v>236</v>
      </c>
    </row>
    <row r="452" customFormat="false" ht="15.75" hidden="false" customHeight="true" outlineLevel="0" collapsed="false">
      <c r="A452" s="144" t="s">
        <v>1184</v>
      </c>
      <c r="B452" s="144" t="s">
        <v>1185</v>
      </c>
      <c r="C452" s="144"/>
      <c r="D452" s="146" t="s">
        <v>1185</v>
      </c>
      <c r="E452" s="145" t="n">
        <v>90</v>
      </c>
      <c r="F452" s="145" t="n">
        <v>123</v>
      </c>
      <c r="G452" s="146" t="s">
        <v>236</v>
      </c>
    </row>
    <row r="453" customFormat="false" ht="15.75" hidden="false" customHeight="true" outlineLevel="0" collapsed="false">
      <c r="A453" s="144" t="s">
        <v>1186</v>
      </c>
      <c r="B453" s="144"/>
      <c r="C453" s="144" t="s">
        <v>714</v>
      </c>
      <c r="D453" s="146" t="s">
        <v>714</v>
      </c>
      <c r="E453" s="145" t="n">
        <v>5950</v>
      </c>
      <c r="F453" s="145" t="n">
        <v>10539</v>
      </c>
      <c r="G453" s="146" t="s">
        <v>236</v>
      </c>
    </row>
    <row r="454" customFormat="false" ht="15.75" hidden="false" customHeight="true" outlineLevel="0" collapsed="false">
      <c r="A454" s="144" t="s">
        <v>1187</v>
      </c>
      <c r="B454" s="144"/>
      <c r="C454" s="144" t="s">
        <v>714</v>
      </c>
      <c r="D454" s="146" t="s">
        <v>714</v>
      </c>
      <c r="E454" s="145" t="n">
        <v>5950</v>
      </c>
      <c r="F454" s="145" t="n">
        <v>10539</v>
      </c>
      <c r="G454" s="146" t="s">
        <v>236</v>
      </c>
    </row>
    <row r="455" customFormat="false" ht="15.75" hidden="false" customHeight="true" outlineLevel="0" collapsed="false">
      <c r="A455" s="144" t="s">
        <v>1188</v>
      </c>
      <c r="B455" s="144"/>
      <c r="C455" s="144" t="s">
        <v>714</v>
      </c>
      <c r="D455" s="146" t="s">
        <v>714</v>
      </c>
      <c r="E455" s="145" t="n">
        <v>5950</v>
      </c>
      <c r="F455" s="145" t="n">
        <v>10539</v>
      </c>
      <c r="G455" s="146" t="s">
        <v>236</v>
      </c>
    </row>
    <row r="456" customFormat="false" ht="15.75" hidden="false" customHeight="true" outlineLevel="0" collapsed="false">
      <c r="A456" s="144" t="s">
        <v>1189</v>
      </c>
      <c r="B456" s="144" t="s">
        <v>1190</v>
      </c>
      <c r="C456" s="144"/>
      <c r="D456" s="146" t="s">
        <v>1190</v>
      </c>
      <c r="E456" s="145" t="n">
        <v>34</v>
      </c>
      <c r="F456" s="145" t="n">
        <v>933</v>
      </c>
      <c r="G456" s="146" t="s">
        <v>236</v>
      </c>
    </row>
    <row r="457" customFormat="false" ht="15.75" hidden="false" customHeight="true" outlineLevel="0" collapsed="false">
      <c r="A457" s="144" t="s">
        <v>1191</v>
      </c>
      <c r="B457" s="144"/>
      <c r="C457" s="144" t="s">
        <v>630</v>
      </c>
      <c r="D457" s="146" t="s">
        <v>630</v>
      </c>
      <c r="E457" s="145" t="n">
        <v>38</v>
      </c>
      <c r="F457" s="145" t="n">
        <v>96</v>
      </c>
      <c r="G457" s="146" t="s">
        <v>236</v>
      </c>
    </row>
    <row r="458" customFormat="false" ht="15.75" hidden="false" customHeight="true" outlineLevel="0" collapsed="false">
      <c r="A458" s="144" t="s">
        <v>1192</v>
      </c>
      <c r="B458" s="144"/>
      <c r="C458" s="144" t="s">
        <v>630</v>
      </c>
      <c r="D458" s="146" t="s">
        <v>630</v>
      </c>
      <c r="E458" s="145" t="n">
        <v>38</v>
      </c>
      <c r="F458" s="145" t="n">
        <v>96</v>
      </c>
      <c r="G458" s="146" t="s">
        <v>236</v>
      </c>
    </row>
    <row r="459" customFormat="false" ht="15.75" hidden="false" customHeight="true" outlineLevel="0" collapsed="false">
      <c r="A459" s="144" t="s">
        <v>1193</v>
      </c>
      <c r="B459" s="144" t="s">
        <v>1194</v>
      </c>
      <c r="C459" s="144"/>
      <c r="D459" s="146" t="s">
        <v>1194</v>
      </c>
      <c r="E459" s="145" t="n">
        <v>717</v>
      </c>
      <c r="F459" s="145" t="n">
        <v>757</v>
      </c>
      <c r="G459" s="146" t="s">
        <v>236</v>
      </c>
    </row>
    <row r="460" customFormat="false" ht="15.75" hidden="false" customHeight="true" outlineLevel="0" collapsed="false">
      <c r="A460" s="144" t="s">
        <v>1195</v>
      </c>
      <c r="B460" s="144"/>
      <c r="C460" s="144" t="s">
        <v>630</v>
      </c>
      <c r="D460" s="146" t="s">
        <v>630</v>
      </c>
      <c r="E460" s="145" t="n">
        <v>38</v>
      </c>
      <c r="F460" s="145" t="n">
        <v>96</v>
      </c>
      <c r="G460" s="146" t="s">
        <v>236</v>
      </c>
    </row>
    <row r="461" customFormat="false" ht="15.75" hidden="false" customHeight="true" outlineLevel="0" collapsed="false">
      <c r="A461" s="144" t="s">
        <v>1196</v>
      </c>
      <c r="B461" s="144"/>
      <c r="C461" s="144" t="s">
        <v>630</v>
      </c>
      <c r="D461" s="146" t="s">
        <v>630</v>
      </c>
      <c r="E461" s="145" t="n">
        <v>38</v>
      </c>
      <c r="F461" s="145" t="n">
        <v>96</v>
      </c>
      <c r="G461" s="146" t="s">
        <v>236</v>
      </c>
    </row>
    <row r="462" customFormat="false" ht="15.75" hidden="false" customHeight="true" outlineLevel="0" collapsed="false">
      <c r="A462" s="144" t="s">
        <v>1197</v>
      </c>
      <c r="B462" s="144"/>
      <c r="C462" s="144" t="s">
        <v>630</v>
      </c>
      <c r="D462" s="146" t="s">
        <v>630</v>
      </c>
      <c r="E462" s="145" t="n">
        <v>38</v>
      </c>
      <c r="F462" s="145" t="n">
        <v>96</v>
      </c>
      <c r="G462" s="146" t="s">
        <v>236</v>
      </c>
    </row>
    <row r="463" customFormat="false" ht="15.75" hidden="false" customHeight="true" outlineLevel="0" collapsed="false">
      <c r="A463" s="144" t="s">
        <v>1198</v>
      </c>
      <c r="B463" s="144" t="s">
        <v>1199</v>
      </c>
      <c r="C463" s="144"/>
      <c r="D463" s="146" t="s">
        <v>1199</v>
      </c>
      <c r="E463" s="145" t="n">
        <v>118</v>
      </c>
      <c r="F463" s="145" t="n">
        <v>121</v>
      </c>
      <c r="G463" s="146" t="s">
        <v>236</v>
      </c>
    </row>
    <row r="464" customFormat="false" ht="15.75" hidden="false" customHeight="true" outlineLevel="0" collapsed="false">
      <c r="A464" s="144" t="s">
        <v>1200</v>
      </c>
      <c r="B464" s="144"/>
      <c r="C464" s="144" t="s">
        <v>630</v>
      </c>
      <c r="D464" s="146" t="s">
        <v>630</v>
      </c>
      <c r="E464" s="145" t="n">
        <v>38</v>
      </c>
      <c r="F464" s="145" t="n">
        <v>96</v>
      </c>
      <c r="G464" s="146" t="s">
        <v>236</v>
      </c>
    </row>
    <row r="465" customFormat="false" ht="15.75" hidden="false" customHeight="true" outlineLevel="0" collapsed="false">
      <c r="A465" s="144" t="s">
        <v>1201</v>
      </c>
      <c r="B465" s="144"/>
      <c r="C465" s="144" t="s">
        <v>630</v>
      </c>
      <c r="D465" s="146" t="s">
        <v>630</v>
      </c>
      <c r="E465" s="145" t="n">
        <v>38</v>
      </c>
      <c r="F465" s="145" t="n">
        <v>96</v>
      </c>
      <c r="G465" s="146" t="s">
        <v>236</v>
      </c>
    </row>
    <row r="466" customFormat="false" ht="15.75" hidden="false" customHeight="true" outlineLevel="0" collapsed="false">
      <c r="A466" s="144" t="s">
        <v>1202</v>
      </c>
      <c r="B466" s="144"/>
      <c r="C466" s="144" t="s">
        <v>630</v>
      </c>
      <c r="D466" s="146" t="s">
        <v>630</v>
      </c>
      <c r="E466" s="145" t="n">
        <v>38</v>
      </c>
      <c r="F466" s="145" t="n">
        <v>96</v>
      </c>
      <c r="G466" s="146" t="s">
        <v>236</v>
      </c>
    </row>
    <row r="467" customFormat="false" ht="15.75" hidden="false" customHeight="true" outlineLevel="0" collapsed="false">
      <c r="A467" s="144" t="s">
        <v>1203</v>
      </c>
      <c r="B467" s="144"/>
      <c r="C467" s="144" t="s">
        <v>630</v>
      </c>
      <c r="D467" s="146" t="s">
        <v>630</v>
      </c>
      <c r="E467" s="145" t="n">
        <v>38</v>
      </c>
      <c r="F467" s="145" t="n">
        <v>96</v>
      </c>
      <c r="G467" s="146" t="s">
        <v>236</v>
      </c>
    </row>
    <row r="468" customFormat="false" ht="15.75" hidden="false" customHeight="true" outlineLevel="0" collapsed="false">
      <c r="A468" s="144" t="s">
        <v>1204</v>
      </c>
      <c r="B468" s="144"/>
      <c r="C468" s="144" t="s">
        <v>630</v>
      </c>
      <c r="D468" s="146" t="s">
        <v>630</v>
      </c>
      <c r="E468" s="145" t="n">
        <v>38</v>
      </c>
      <c r="F468" s="145" t="n">
        <v>96</v>
      </c>
      <c r="G468" s="146" t="s">
        <v>236</v>
      </c>
    </row>
    <row r="469" customFormat="false" ht="15.75" hidden="false" customHeight="true" outlineLevel="0" collapsed="false">
      <c r="A469" s="144" t="s">
        <v>1205</v>
      </c>
      <c r="B469" s="144"/>
      <c r="C469" s="144" t="s">
        <v>630</v>
      </c>
      <c r="D469" s="146" t="s">
        <v>630</v>
      </c>
      <c r="E469" s="145" t="n">
        <v>38</v>
      </c>
      <c r="F469" s="145" t="n">
        <v>96</v>
      </c>
      <c r="G469" s="146" t="s">
        <v>236</v>
      </c>
    </row>
    <row r="470" customFormat="false" ht="15.75" hidden="false" customHeight="true" outlineLevel="0" collapsed="false">
      <c r="A470" s="144" t="s">
        <v>1206</v>
      </c>
      <c r="B470" s="144"/>
      <c r="C470" s="144" t="s">
        <v>630</v>
      </c>
      <c r="D470" s="146" t="s">
        <v>630</v>
      </c>
      <c r="E470" s="145" t="n">
        <v>38</v>
      </c>
      <c r="F470" s="145" t="n">
        <v>96</v>
      </c>
      <c r="G470" s="146" t="s">
        <v>236</v>
      </c>
    </row>
    <row r="471" customFormat="false" ht="15.75" hidden="false" customHeight="true" outlineLevel="0" collapsed="false">
      <c r="A471" s="144" t="s">
        <v>1207</v>
      </c>
      <c r="B471" s="144"/>
      <c r="C471" s="144" t="s">
        <v>630</v>
      </c>
      <c r="D471" s="146" t="s">
        <v>630</v>
      </c>
      <c r="E471" s="145" t="n">
        <v>38</v>
      </c>
      <c r="F471" s="145" t="n">
        <v>96</v>
      </c>
      <c r="G471" s="146" t="s">
        <v>236</v>
      </c>
    </row>
    <row r="472" customFormat="false" ht="15.75" hidden="false" customHeight="true" outlineLevel="0" collapsed="false">
      <c r="A472" s="144" t="s">
        <v>591</v>
      </c>
      <c r="B472" s="144" t="s">
        <v>1208</v>
      </c>
      <c r="C472" s="144"/>
      <c r="D472" s="146" t="s">
        <v>1208</v>
      </c>
      <c r="E472" s="145" t="n">
        <v>21000</v>
      </c>
      <c r="F472" s="145" t="n">
        <v>21000</v>
      </c>
      <c r="G472" s="146" t="s">
        <v>236</v>
      </c>
    </row>
    <row r="473" customFormat="false" ht="15.75" hidden="false" customHeight="true" outlineLevel="0" collapsed="false">
      <c r="A473" s="144" t="s">
        <v>1209</v>
      </c>
      <c r="B473" s="144"/>
      <c r="C473" s="144" t="s">
        <v>630</v>
      </c>
      <c r="D473" s="146" t="s">
        <v>630</v>
      </c>
      <c r="E473" s="145" t="n">
        <v>38</v>
      </c>
      <c r="F473" s="145" t="n">
        <v>96</v>
      </c>
      <c r="G473" s="146" t="s">
        <v>236</v>
      </c>
    </row>
    <row r="474" customFormat="false" ht="15.75" hidden="false" customHeight="true" outlineLevel="0" collapsed="false">
      <c r="A474" s="144" t="s">
        <v>1210</v>
      </c>
      <c r="B474" s="144" t="s">
        <v>1211</v>
      </c>
      <c r="C474" s="144"/>
      <c r="D474" s="146" t="s">
        <v>1211</v>
      </c>
      <c r="E474" s="145" t="n">
        <v>909</v>
      </c>
      <c r="F474" s="145" t="n">
        <v>2500</v>
      </c>
      <c r="G474" s="146" t="s">
        <v>236</v>
      </c>
    </row>
    <row r="475" customFormat="false" ht="15.75" hidden="false" customHeight="true" outlineLevel="0" collapsed="false">
      <c r="A475" s="144" t="s">
        <v>1212</v>
      </c>
      <c r="B475" s="144"/>
      <c r="C475" s="144" t="s">
        <v>630</v>
      </c>
      <c r="D475" s="146" t="s">
        <v>630</v>
      </c>
      <c r="E475" s="145" t="n">
        <v>38</v>
      </c>
      <c r="F475" s="145" t="n">
        <v>96</v>
      </c>
      <c r="G475" s="146" t="s">
        <v>236</v>
      </c>
    </row>
    <row r="476" customFormat="false" ht="15.75" hidden="false" customHeight="true" outlineLevel="0" collapsed="false">
      <c r="A476" s="144" t="s">
        <v>1213</v>
      </c>
      <c r="B476" s="144"/>
      <c r="C476" s="144" t="s">
        <v>714</v>
      </c>
      <c r="D476" s="146" t="s">
        <v>714</v>
      </c>
      <c r="E476" s="145" t="n">
        <v>5950</v>
      </c>
      <c r="F476" s="145" t="n">
        <v>10539</v>
      </c>
      <c r="G476" s="146" t="s">
        <v>236</v>
      </c>
    </row>
    <row r="477" customFormat="false" ht="15.75" hidden="false" customHeight="true" outlineLevel="0" collapsed="false">
      <c r="A477" s="144" t="s">
        <v>1214</v>
      </c>
      <c r="B477" s="144" t="s">
        <v>1215</v>
      </c>
      <c r="C477" s="144"/>
      <c r="D477" s="146" t="s">
        <v>1215</v>
      </c>
      <c r="E477" s="145" t="n">
        <v>165</v>
      </c>
      <c r="F477" s="145" t="n">
        <v>225</v>
      </c>
      <c r="G477" s="146" t="s">
        <v>236</v>
      </c>
    </row>
    <row r="478" customFormat="false" ht="15.75" hidden="false" customHeight="true" outlineLevel="0" collapsed="false">
      <c r="A478" s="144" t="s">
        <v>1216</v>
      </c>
      <c r="B478" s="144" t="s">
        <v>1217</v>
      </c>
      <c r="C478" s="144"/>
      <c r="D478" s="146" t="s">
        <v>1217</v>
      </c>
      <c r="E478" s="145" t="n">
        <v>218</v>
      </c>
      <c r="F478" s="145" t="n">
        <v>284</v>
      </c>
      <c r="G478" s="146" t="s">
        <v>236</v>
      </c>
    </row>
    <row r="479" customFormat="false" ht="15.75" hidden="false" customHeight="true" outlineLevel="0" collapsed="false">
      <c r="A479" s="144" t="s">
        <v>208</v>
      </c>
      <c r="B479" s="144"/>
      <c r="C479" s="144" t="s">
        <v>630</v>
      </c>
      <c r="D479" s="146" t="s">
        <v>630</v>
      </c>
      <c r="E479" s="145" t="n">
        <v>38</v>
      </c>
      <c r="F479" s="145" t="n">
        <v>96</v>
      </c>
      <c r="G479" s="146" t="s">
        <v>236</v>
      </c>
    </row>
    <row r="480" customFormat="false" ht="15.75" hidden="false" customHeight="true" outlineLevel="0" collapsed="false">
      <c r="A480" s="144" t="s">
        <v>1218</v>
      </c>
      <c r="B480" s="144"/>
      <c r="C480" s="144" t="s">
        <v>630</v>
      </c>
      <c r="D480" s="146" t="s">
        <v>630</v>
      </c>
      <c r="E480" s="145" t="n">
        <v>38</v>
      </c>
      <c r="F480" s="145" t="n">
        <v>96</v>
      </c>
      <c r="G480" s="146" t="s">
        <v>236</v>
      </c>
    </row>
    <row r="481" customFormat="false" ht="15.75" hidden="false" customHeight="true" outlineLevel="0" collapsed="false">
      <c r="A481" s="144" t="s">
        <v>1219</v>
      </c>
      <c r="B481" s="144"/>
      <c r="C481" s="144" t="s">
        <v>630</v>
      </c>
      <c r="D481" s="146" t="s">
        <v>630</v>
      </c>
      <c r="E481" s="145" t="n">
        <v>38</v>
      </c>
      <c r="F481" s="145" t="n">
        <v>96</v>
      </c>
      <c r="G481" s="146" t="s">
        <v>236</v>
      </c>
    </row>
    <row r="482" customFormat="false" ht="15.75" hidden="false" customHeight="true" outlineLevel="0" collapsed="false">
      <c r="A482" s="144" t="s">
        <v>575</v>
      </c>
      <c r="B482" s="144" t="s">
        <v>1220</v>
      </c>
      <c r="C482" s="144"/>
      <c r="D482" s="146" t="s">
        <v>1220</v>
      </c>
      <c r="E482" s="145" t="n">
        <v>2065</v>
      </c>
      <c r="F482" s="145" t="n">
        <v>11225</v>
      </c>
      <c r="G482" s="146" t="s">
        <v>236</v>
      </c>
    </row>
    <row r="483" customFormat="false" ht="15.75" hidden="false" customHeight="true" outlineLevel="0" collapsed="false">
      <c r="A483" s="144" t="s">
        <v>1221</v>
      </c>
      <c r="B483" s="144" t="s">
        <v>1222</v>
      </c>
      <c r="C483" s="144"/>
      <c r="D483" s="146" t="s">
        <v>1222</v>
      </c>
      <c r="E483" s="145" t="n">
        <v>596</v>
      </c>
      <c r="F483" s="145" t="n">
        <v>3239</v>
      </c>
      <c r="G483" s="146" t="s">
        <v>236</v>
      </c>
    </row>
    <row r="484" customFormat="false" ht="15.75" hidden="false" customHeight="true" outlineLevel="0" collapsed="false">
      <c r="A484" s="144" t="s">
        <v>1223</v>
      </c>
      <c r="B484" s="144" t="s">
        <v>1224</v>
      </c>
      <c r="C484" s="144"/>
      <c r="D484" s="146" t="s">
        <v>1224</v>
      </c>
      <c r="E484" s="145" t="n">
        <v>1500</v>
      </c>
      <c r="F484" s="145" t="n">
        <v>2500</v>
      </c>
      <c r="G484" s="146" t="s">
        <v>236</v>
      </c>
    </row>
    <row r="485" customFormat="false" ht="15.75" hidden="false" customHeight="true" outlineLevel="0" collapsed="false">
      <c r="A485" s="144" t="s">
        <v>1225</v>
      </c>
      <c r="B485" s="144" t="s">
        <v>1226</v>
      </c>
      <c r="C485" s="144"/>
      <c r="D485" s="146" t="s">
        <v>1226</v>
      </c>
      <c r="E485" s="145" t="n">
        <v>750</v>
      </c>
      <c r="F485" s="145" t="n">
        <v>750</v>
      </c>
      <c r="G485" s="146" t="s">
        <v>236</v>
      </c>
    </row>
    <row r="486" customFormat="false" ht="15.75" hidden="false" customHeight="true" outlineLevel="0" collapsed="false">
      <c r="A486" s="144" t="s">
        <v>1227</v>
      </c>
      <c r="B486" s="144" t="s">
        <v>1228</v>
      </c>
      <c r="C486" s="144"/>
      <c r="D486" s="146" t="s">
        <v>1228</v>
      </c>
      <c r="E486" s="145" t="n">
        <v>80</v>
      </c>
      <c r="F486" s="145" t="n">
        <v>110</v>
      </c>
      <c r="G486" s="146" t="s">
        <v>236</v>
      </c>
    </row>
    <row r="487" customFormat="false" ht="15.75" hidden="false" customHeight="true" outlineLevel="0" collapsed="false">
      <c r="A487" s="144" t="s">
        <v>1229</v>
      </c>
      <c r="B487" s="144"/>
      <c r="C487" s="144" t="s">
        <v>630</v>
      </c>
      <c r="D487" s="146" t="s">
        <v>630</v>
      </c>
      <c r="E487" s="145" t="n">
        <v>38</v>
      </c>
      <c r="F487" s="145" t="n">
        <v>96</v>
      </c>
      <c r="G487" s="146" t="s">
        <v>236</v>
      </c>
    </row>
    <row r="488" customFormat="false" ht="15.75" hidden="false" customHeight="true" outlineLevel="0" collapsed="false">
      <c r="A488" s="144" t="s">
        <v>1230</v>
      </c>
      <c r="B488" s="144"/>
      <c r="C488" s="144" t="s">
        <v>630</v>
      </c>
      <c r="D488" s="146" t="s">
        <v>630</v>
      </c>
      <c r="E488" s="145" t="n">
        <v>38</v>
      </c>
      <c r="F488" s="145" t="n">
        <v>96</v>
      </c>
      <c r="G488" s="146" t="s">
        <v>236</v>
      </c>
    </row>
    <row r="489" customFormat="false" ht="15.75" hidden="false" customHeight="true" outlineLevel="0" collapsed="false">
      <c r="A489" s="144" t="s">
        <v>1231</v>
      </c>
      <c r="B489" s="144"/>
      <c r="C489" s="144" t="s">
        <v>630</v>
      </c>
      <c r="D489" s="146" t="s">
        <v>630</v>
      </c>
      <c r="E489" s="145" t="n">
        <v>38</v>
      </c>
      <c r="F489" s="145" t="n">
        <v>96</v>
      </c>
      <c r="G489" s="146" t="s">
        <v>236</v>
      </c>
    </row>
    <row r="490" customFormat="false" ht="15.75" hidden="false" customHeight="true" outlineLevel="0" collapsed="false">
      <c r="A490" s="144" t="s">
        <v>1232</v>
      </c>
      <c r="B490" s="144" t="s">
        <v>1233</v>
      </c>
      <c r="C490" s="144"/>
      <c r="D490" s="146" t="s">
        <v>1233</v>
      </c>
      <c r="E490" s="145" t="n">
        <v>907</v>
      </c>
      <c r="F490" s="145" t="n">
        <v>2268</v>
      </c>
      <c r="G490" s="146" t="s">
        <v>236</v>
      </c>
    </row>
    <row r="491" customFormat="false" ht="15.75" hidden="false" customHeight="true" outlineLevel="0" collapsed="false">
      <c r="A491" s="144" t="s">
        <v>1234</v>
      </c>
      <c r="B491" s="144" t="s">
        <v>1235</v>
      </c>
      <c r="C491" s="144"/>
      <c r="D491" s="146" t="s">
        <v>1235</v>
      </c>
      <c r="E491" s="145" t="n">
        <v>227</v>
      </c>
      <c r="F491" s="145" t="n">
        <v>909</v>
      </c>
      <c r="G491" s="146" t="s">
        <v>236</v>
      </c>
    </row>
    <row r="492" customFormat="false" ht="15.75" hidden="false" customHeight="true" outlineLevel="0" collapsed="false">
      <c r="A492" s="144" t="s">
        <v>1236</v>
      </c>
      <c r="B492" s="144" t="s">
        <v>1237</v>
      </c>
      <c r="C492" s="144"/>
      <c r="D492" s="146" t="s">
        <v>1237</v>
      </c>
      <c r="E492" s="145" t="n">
        <v>42</v>
      </c>
      <c r="F492" s="145" t="n">
        <v>309</v>
      </c>
      <c r="G492" s="146" t="s">
        <v>236</v>
      </c>
    </row>
    <row r="493" customFormat="false" ht="15.75" hidden="false" customHeight="true" outlineLevel="0" collapsed="false">
      <c r="A493" s="144" t="s">
        <v>1238</v>
      </c>
      <c r="B493" s="144" t="s">
        <v>1239</v>
      </c>
      <c r="C493" s="144"/>
      <c r="D493" s="146" t="s">
        <v>1239</v>
      </c>
      <c r="E493" s="145" t="n">
        <v>490</v>
      </c>
      <c r="F493" s="145" t="n">
        <v>2030</v>
      </c>
      <c r="G493" s="146" t="s">
        <v>236</v>
      </c>
    </row>
    <row r="494" customFormat="false" ht="15.75" hidden="false" customHeight="true" outlineLevel="0" collapsed="false">
      <c r="A494" s="144" t="s">
        <v>1240</v>
      </c>
      <c r="B494" s="144"/>
      <c r="C494" s="144" t="s">
        <v>714</v>
      </c>
      <c r="D494" s="146" t="s">
        <v>714</v>
      </c>
      <c r="E494" s="145" t="n">
        <v>5950</v>
      </c>
      <c r="F494" s="145" t="n">
        <v>10539</v>
      </c>
      <c r="G494" s="146" t="s">
        <v>236</v>
      </c>
    </row>
    <row r="495" customFormat="false" ht="15.75" hidden="false" customHeight="true" outlineLevel="0" collapsed="false">
      <c r="A495" s="144" t="s">
        <v>1241</v>
      </c>
      <c r="B495" s="144"/>
      <c r="C495" s="144" t="s">
        <v>714</v>
      </c>
      <c r="D495" s="146" t="s">
        <v>714</v>
      </c>
      <c r="E495" s="145" t="n">
        <v>5950</v>
      </c>
      <c r="F495" s="145" t="n">
        <v>10539</v>
      </c>
      <c r="G495" s="146" t="s">
        <v>236</v>
      </c>
    </row>
    <row r="496" customFormat="false" ht="15.75" hidden="false" customHeight="true" outlineLevel="0" collapsed="false">
      <c r="A496" s="144" t="s">
        <v>1242</v>
      </c>
      <c r="B496" s="144"/>
      <c r="C496" s="144" t="s">
        <v>630</v>
      </c>
      <c r="D496" s="146" t="s">
        <v>630</v>
      </c>
      <c r="E496" s="145" t="n">
        <v>38</v>
      </c>
      <c r="F496" s="145" t="n">
        <v>96</v>
      </c>
      <c r="G496" s="146" t="s">
        <v>236</v>
      </c>
    </row>
    <row r="497" customFormat="false" ht="15.75" hidden="false" customHeight="true" outlineLevel="0" collapsed="false">
      <c r="A497" s="144" t="s">
        <v>1243</v>
      </c>
      <c r="B497" s="144"/>
      <c r="C497" s="144" t="s">
        <v>630</v>
      </c>
      <c r="D497" s="146" t="s">
        <v>630</v>
      </c>
      <c r="E497" s="145" t="n">
        <v>38</v>
      </c>
      <c r="F497" s="145" t="n">
        <v>96</v>
      </c>
      <c r="G497" s="146" t="s">
        <v>236</v>
      </c>
    </row>
    <row r="498" customFormat="false" ht="15.75" hidden="false" customHeight="true" outlineLevel="0" collapsed="false">
      <c r="A498" s="144" t="s">
        <v>1244</v>
      </c>
      <c r="B498" s="144" t="s">
        <v>1245</v>
      </c>
      <c r="C498" s="144"/>
      <c r="D498" s="146" t="s">
        <v>1245</v>
      </c>
      <c r="E498" s="145" t="n">
        <v>121</v>
      </c>
      <c r="F498" s="145" t="n">
        <v>527</v>
      </c>
      <c r="G498" s="146" t="s">
        <v>236</v>
      </c>
    </row>
    <row r="499" customFormat="false" ht="15.75" hidden="false" customHeight="true" outlineLevel="0" collapsed="false">
      <c r="A499" s="144" t="s">
        <v>1246</v>
      </c>
      <c r="B499" s="144"/>
      <c r="C499" s="144" t="s">
        <v>630</v>
      </c>
      <c r="D499" s="146" t="s">
        <v>630</v>
      </c>
      <c r="E499" s="145" t="n">
        <v>38</v>
      </c>
      <c r="F499" s="145" t="n">
        <v>96</v>
      </c>
      <c r="G499" s="146" t="s">
        <v>236</v>
      </c>
    </row>
    <row r="500" customFormat="false" ht="15.75" hidden="false" customHeight="true" outlineLevel="0" collapsed="false">
      <c r="A500" s="144" t="s">
        <v>1247</v>
      </c>
      <c r="B500" s="144"/>
      <c r="C500" s="144" t="s">
        <v>630</v>
      </c>
      <c r="D500" s="146" t="s">
        <v>630</v>
      </c>
      <c r="E500" s="145" t="n">
        <v>38</v>
      </c>
      <c r="F500" s="145" t="n">
        <v>96</v>
      </c>
      <c r="G500" s="146" t="s">
        <v>236</v>
      </c>
    </row>
    <row r="501" customFormat="false" ht="15.75" hidden="false" customHeight="true" outlineLevel="0" collapsed="false">
      <c r="A501" s="144" t="s">
        <v>1248</v>
      </c>
      <c r="B501" s="144" t="s">
        <v>1249</v>
      </c>
      <c r="C501" s="144"/>
      <c r="D501" s="146" t="s">
        <v>1249</v>
      </c>
      <c r="E501" s="145" t="n">
        <v>372</v>
      </c>
      <c r="F501" s="145" t="n">
        <v>507</v>
      </c>
      <c r="G501" s="146" t="s">
        <v>236</v>
      </c>
    </row>
    <row r="502" customFormat="false" ht="15.75" hidden="false" customHeight="true" outlineLevel="0" collapsed="false">
      <c r="A502" s="144" t="s">
        <v>1250</v>
      </c>
      <c r="B502" s="144" t="s">
        <v>570</v>
      </c>
      <c r="C502" s="144"/>
      <c r="D502" s="146" t="s">
        <v>570</v>
      </c>
      <c r="E502" s="145" t="n">
        <v>1000</v>
      </c>
      <c r="F502" s="145" t="n">
        <v>1000</v>
      </c>
      <c r="G502" s="146" t="s">
        <v>236</v>
      </c>
    </row>
    <row r="503" customFormat="false" ht="15.75" hidden="false" customHeight="true" outlineLevel="0" collapsed="false">
      <c r="A503" s="144" t="s">
        <v>1251</v>
      </c>
      <c r="B503" s="144"/>
      <c r="C503" s="144" t="s">
        <v>630</v>
      </c>
      <c r="D503" s="146" t="s">
        <v>630</v>
      </c>
      <c r="E503" s="145" t="n">
        <v>38</v>
      </c>
      <c r="F503" s="145" t="n">
        <v>96</v>
      </c>
      <c r="G503" s="146" t="s">
        <v>236</v>
      </c>
    </row>
    <row r="504" customFormat="false" ht="15.75" hidden="false" customHeight="true" outlineLevel="0" collapsed="false">
      <c r="A504" s="144" t="s">
        <v>1252</v>
      </c>
      <c r="B504" s="144"/>
      <c r="C504" s="144" t="s">
        <v>630</v>
      </c>
      <c r="D504" s="146" t="s">
        <v>630</v>
      </c>
      <c r="E504" s="145" t="n">
        <v>38</v>
      </c>
      <c r="F504" s="145" t="n">
        <v>96</v>
      </c>
      <c r="G504" s="146" t="s">
        <v>236</v>
      </c>
    </row>
    <row r="505" customFormat="false" ht="15.75" hidden="false" customHeight="true" outlineLevel="0" collapsed="false">
      <c r="A505" s="144" t="s">
        <v>1253</v>
      </c>
      <c r="B505" s="144"/>
      <c r="C505" s="144" t="s">
        <v>630</v>
      </c>
      <c r="D505" s="146" t="s">
        <v>630</v>
      </c>
      <c r="E505" s="145" t="n">
        <v>38</v>
      </c>
      <c r="F505" s="145" t="n">
        <v>96</v>
      </c>
      <c r="G505" s="146" t="s">
        <v>236</v>
      </c>
    </row>
    <row r="506" customFormat="false" ht="15.75" hidden="false" customHeight="true" outlineLevel="0" collapsed="false">
      <c r="A506" s="144" t="s">
        <v>1254</v>
      </c>
      <c r="B506" s="144"/>
      <c r="C506" s="144" t="s">
        <v>630</v>
      </c>
      <c r="D506" s="146" t="s">
        <v>630</v>
      </c>
      <c r="E506" s="145" t="n">
        <v>38</v>
      </c>
      <c r="F506" s="145" t="n">
        <v>96</v>
      </c>
      <c r="G506" s="146" t="s">
        <v>236</v>
      </c>
    </row>
    <row r="507" customFormat="false" ht="15.75" hidden="false" customHeight="true" outlineLevel="0" collapsed="false">
      <c r="A507" s="144" t="s">
        <v>1255</v>
      </c>
      <c r="B507" s="144" t="s">
        <v>1256</v>
      </c>
      <c r="C507" s="144"/>
      <c r="D507" s="146" t="s">
        <v>1256</v>
      </c>
      <c r="E507" s="145" t="n">
        <v>603</v>
      </c>
      <c r="F507" s="145" t="n">
        <v>603</v>
      </c>
      <c r="G507" s="146" t="s">
        <v>236</v>
      </c>
    </row>
    <row r="508" customFormat="false" ht="15.75" hidden="false" customHeight="true" outlineLevel="0" collapsed="false">
      <c r="A508" s="144" t="s">
        <v>1257</v>
      </c>
      <c r="B508" s="144"/>
      <c r="C508" s="144" t="s">
        <v>630</v>
      </c>
      <c r="D508" s="146" t="s">
        <v>630</v>
      </c>
      <c r="E508" s="145" t="n">
        <v>38</v>
      </c>
      <c r="F508" s="145" t="n">
        <v>96</v>
      </c>
      <c r="G508" s="146" t="s">
        <v>236</v>
      </c>
    </row>
    <row r="509" customFormat="false" ht="15.75" hidden="false" customHeight="true" outlineLevel="0" collapsed="false">
      <c r="A509" s="144" t="s">
        <v>1258</v>
      </c>
      <c r="B509" s="144"/>
      <c r="C509" s="144" t="s">
        <v>630</v>
      </c>
      <c r="D509" s="146" t="s">
        <v>630</v>
      </c>
      <c r="E509" s="145" t="n">
        <v>38</v>
      </c>
      <c r="F509" s="145" t="n">
        <v>96</v>
      </c>
      <c r="G509" s="146" t="s">
        <v>236</v>
      </c>
    </row>
    <row r="510" customFormat="false" ht="15.75" hidden="false" customHeight="true" outlineLevel="0" collapsed="false">
      <c r="A510" s="144" t="s">
        <v>1259</v>
      </c>
      <c r="B510" s="144"/>
      <c r="C510" s="144" t="s">
        <v>630</v>
      </c>
      <c r="D510" s="146" t="s">
        <v>630</v>
      </c>
      <c r="E510" s="145" t="n">
        <v>38</v>
      </c>
      <c r="F510" s="145" t="n">
        <v>96</v>
      </c>
      <c r="G510" s="146" t="s">
        <v>236</v>
      </c>
    </row>
    <row r="511" customFormat="false" ht="15.75" hidden="false" customHeight="true" outlineLevel="0" collapsed="false">
      <c r="A511" s="144" t="s">
        <v>1260</v>
      </c>
      <c r="B511" s="144" t="s">
        <v>1261</v>
      </c>
      <c r="C511" s="144"/>
      <c r="D511" s="146" t="s">
        <v>1261</v>
      </c>
      <c r="E511" s="145" t="n">
        <v>3000</v>
      </c>
      <c r="F511" s="145" t="n">
        <v>3000</v>
      </c>
      <c r="G511" s="146" t="s">
        <v>236</v>
      </c>
    </row>
    <row r="512" customFormat="false" ht="15.75" hidden="false" customHeight="true" outlineLevel="0" collapsed="false">
      <c r="A512" s="144" t="s">
        <v>1262</v>
      </c>
      <c r="B512" s="144" t="s">
        <v>719</v>
      </c>
      <c r="C512" s="144"/>
      <c r="D512" s="146" t="s">
        <v>719</v>
      </c>
      <c r="E512" s="145" t="n">
        <v>2000</v>
      </c>
      <c r="F512" s="145" t="n">
        <v>2000</v>
      </c>
      <c r="G512" s="146" t="s">
        <v>236</v>
      </c>
    </row>
    <row r="513" customFormat="false" ht="15.75" hidden="false" customHeight="true" outlineLevel="0" collapsed="false">
      <c r="A513" s="144" t="s">
        <v>1263</v>
      </c>
      <c r="B513" s="144"/>
      <c r="C513" s="144" t="s">
        <v>630</v>
      </c>
      <c r="D513" s="146" t="s">
        <v>630</v>
      </c>
      <c r="E513" s="145" t="n">
        <v>38</v>
      </c>
      <c r="F513" s="145" t="n">
        <v>96</v>
      </c>
      <c r="G513" s="146" t="s">
        <v>236</v>
      </c>
    </row>
    <row r="514" customFormat="false" ht="15.75" hidden="false" customHeight="true" outlineLevel="0" collapsed="false">
      <c r="A514" s="144" t="s">
        <v>1264</v>
      </c>
      <c r="B514" s="144"/>
      <c r="C514" s="144" t="s">
        <v>630</v>
      </c>
      <c r="D514" s="146" t="s">
        <v>630</v>
      </c>
      <c r="E514" s="145" t="n">
        <v>38</v>
      </c>
      <c r="F514" s="145" t="n">
        <v>96</v>
      </c>
      <c r="G514" s="146" t="s">
        <v>236</v>
      </c>
    </row>
    <row r="515" customFormat="false" ht="15.75" hidden="false" customHeight="true" outlineLevel="0" collapsed="false">
      <c r="A515" s="144" t="s">
        <v>1265</v>
      </c>
      <c r="B515" s="144" t="s">
        <v>1266</v>
      </c>
      <c r="C515" s="144"/>
      <c r="D515" s="146" t="s">
        <v>1266</v>
      </c>
      <c r="E515" s="145" t="n">
        <v>25000</v>
      </c>
      <c r="F515" s="145" t="n">
        <v>25000</v>
      </c>
      <c r="G515" s="146" t="s">
        <v>236</v>
      </c>
    </row>
    <row r="516" customFormat="false" ht="15.75" hidden="false" customHeight="true" outlineLevel="0" collapsed="false">
      <c r="A516" s="144" t="s">
        <v>1267</v>
      </c>
      <c r="B516" s="144"/>
      <c r="C516" s="144" t="s">
        <v>630</v>
      </c>
      <c r="D516" s="146" t="s">
        <v>630</v>
      </c>
      <c r="E516" s="145" t="n">
        <v>38</v>
      </c>
      <c r="F516" s="145" t="n">
        <v>96</v>
      </c>
      <c r="G516" s="146" t="s">
        <v>236</v>
      </c>
    </row>
    <row r="517" customFormat="false" ht="15.75" hidden="false" customHeight="true" outlineLevel="0" collapsed="false">
      <c r="A517" s="144" t="s">
        <v>1268</v>
      </c>
      <c r="B517" s="144" t="s">
        <v>1269</v>
      </c>
      <c r="C517" s="144"/>
      <c r="D517" s="146" t="s">
        <v>1269</v>
      </c>
      <c r="E517" s="145" t="n">
        <v>200</v>
      </c>
      <c r="F517" s="145" t="n">
        <v>3500</v>
      </c>
      <c r="G517" s="146" t="s">
        <v>236</v>
      </c>
    </row>
    <row r="518" customFormat="false" ht="15.75" hidden="false" customHeight="true" outlineLevel="0" collapsed="false">
      <c r="A518" s="144" t="s">
        <v>1270</v>
      </c>
      <c r="B518" s="144"/>
      <c r="C518" s="144" t="s">
        <v>630</v>
      </c>
      <c r="D518" s="146" t="s">
        <v>630</v>
      </c>
      <c r="E518" s="145" t="n">
        <v>38</v>
      </c>
      <c r="F518" s="145" t="n">
        <v>96</v>
      </c>
      <c r="G518" s="146" t="s">
        <v>236</v>
      </c>
    </row>
    <row r="519" customFormat="false" ht="15.75" hidden="false" customHeight="true" outlineLevel="0" collapsed="false">
      <c r="A519" s="144" t="s">
        <v>1271</v>
      </c>
      <c r="B519" s="144"/>
      <c r="C519" s="144" t="s">
        <v>630</v>
      </c>
      <c r="D519" s="146" t="s">
        <v>630</v>
      </c>
      <c r="E519" s="145" t="n">
        <v>38</v>
      </c>
      <c r="F519" s="145" t="n">
        <v>96</v>
      </c>
      <c r="G519" s="146" t="s">
        <v>236</v>
      </c>
    </row>
    <row r="520" customFormat="false" ht="15.75" hidden="false" customHeight="true" outlineLevel="0" collapsed="false">
      <c r="A520" s="144" t="s">
        <v>1272</v>
      </c>
      <c r="B520" s="144"/>
      <c r="C520" s="144" t="s">
        <v>630</v>
      </c>
      <c r="D520" s="146" t="s">
        <v>630</v>
      </c>
      <c r="E520" s="145" t="n">
        <v>38</v>
      </c>
      <c r="F520" s="145" t="n">
        <v>96</v>
      </c>
      <c r="G520" s="146" t="s">
        <v>236</v>
      </c>
    </row>
    <row r="521" customFormat="false" ht="15.75" hidden="false" customHeight="true" outlineLevel="0" collapsed="false">
      <c r="A521" s="144" t="s">
        <v>1273</v>
      </c>
      <c r="B521" s="144"/>
      <c r="C521" s="144" t="s">
        <v>630</v>
      </c>
      <c r="D521" s="146" t="s">
        <v>630</v>
      </c>
      <c r="E521" s="145" t="n">
        <v>38</v>
      </c>
      <c r="F521" s="145" t="n">
        <v>96</v>
      </c>
      <c r="G521" s="146" t="s">
        <v>236</v>
      </c>
    </row>
    <row r="522" customFormat="false" ht="15.75" hidden="false" customHeight="true" outlineLevel="0" collapsed="false">
      <c r="A522" s="144" t="s">
        <v>1274</v>
      </c>
      <c r="B522" s="144"/>
      <c r="C522" s="144" t="s">
        <v>630</v>
      </c>
      <c r="D522" s="146" t="s">
        <v>630</v>
      </c>
      <c r="E522" s="145" t="n">
        <v>38</v>
      </c>
      <c r="F522" s="145" t="n">
        <v>96</v>
      </c>
      <c r="G522" s="146" t="s">
        <v>236</v>
      </c>
    </row>
    <row r="523" customFormat="false" ht="15.75" hidden="false" customHeight="true" outlineLevel="0" collapsed="false">
      <c r="A523" s="144" t="s">
        <v>595</v>
      </c>
      <c r="B523" s="144" t="s">
        <v>1275</v>
      </c>
      <c r="C523" s="144"/>
      <c r="D523" s="146" t="s">
        <v>1275</v>
      </c>
      <c r="E523" s="145" t="n">
        <v>114</v>
      </c>
      <c r="F523" s="145" t="n">
        <v>454</v>
      </c>
      <c r="G523" s="146" t="s">
        <v>236</v>
      </c>
    </row>
    <row r="524" customFormat="false" ht="15.75" hidden="false" customHeight="true" outlineLevel="0" collapsed="false">
      <c r="A524" s="144" t="s">
        <v>1276</v>
      </c>
      <c r="B524" s="144" t="s">
        <v>1277</v>
      </c>
      <c r="C524" s="144"/>
      <c r="D524" s="146" t="s">
        <v>1277</v>
      </c>
      <c r="E524" s="145" t="n">
        <v>172</v>
      </c>
      <c r="F524" s="145" t="n">
        <v>172</v>
      </c>
      <c r="G524" s="146" t="s">
        <v>236</v>
      </c>
    </row>
    <row r="525" customFormat="false" ht="15.75" hidden="false" customHeight="true" outlineLevel="0" collapsed="false">
      <c r="A525" s="144" t="s">
        <v>1278</v>
      </c>
      <c r="B525" s="144" t="s">
        <v>1279</v>
      </c>
      <c r="C525" s="144"/>
      <c r="D525" s="146" t="s">
        <v>1279</v>
      </c>
      <c r="E525" s="145" t="n">
        <v>2419</v>
      </c>
      <c r="F525" s="145" t="n">
        <v>2419</v>
      </c>
      <c r="G525" s="146" t="s">
        <v>236</v>
      </c>
    </row>
    <row r="526" customFormat="false" ht="15.75" hidden="false" customHeight="true" outlineLevel="0" collapsed="false">
      <c r="A526" s="144" t="s">
        <v>1280</v>
      </c>
      <c r="B526" s="144"/>
      <c r="C526" s="144" t="s">
        <v>630</v>
      </c>
      <c r="D526" s="146" t="s">
        <v>630</v>
      </c>
      <c r="E526" s="145" t="n">
        <v>38</v>
      </c>
      <c r="F526" s="145" t="n">
        <v>96</v>
      </c>
      <c r="G526" s="146" t="s">
        <v>236</v>
      </c>
    </row>
    <row r="527" customFormat="false" ht="15.75" hidden="false" customHeight="true" outlineLevel="0" collapsed="false">
      <c r="A527" s="144" t="s">
        <v>1281</v>
      </c>
      <c r="B527" s="144"/>
      <c r="C527" s="144" t="s">
        <v>630</v>
      </c>
      <c r="D527" s="146" t="s">
        <v>630</v>
      </c>
      <c r="E527" s="145" t="n">
        <v>38</v>
      </c>
      <c r="F527" s="145" t="n">
        <v>96</v>
      </c>
      <c r="G527" s="146" t="s">
        <v>236</v>
      </c>
    </row>
    <row r="528" customFormat="false" ht="15.75" hidden="false" customHeight="true" outlineLevel="0" collapsed="false">
      <c r="A528" s="144" t="s">
        <v>1282</v>
      </c>
      <c r="B528" s="144"/>
      <c r="C528" s="144" t="s">
        <v>630</v>
      </c>
      <c r="D528" s="146" t="s">
        <v>630</v>
      </c>
      <c r="E528" s="145" t="n">
        <v>38</v>
      </c>
      <c r="F528" s="145" t="n">
        <v>96</v>
      </c>
      <c r="G528" s="146" t="s">
        <v>236</v>
      </c>
    </row>
    <row r="529" customFormat="false" ht="15.75" hidden="false" customHeight="true" outlineLevel="0" collapsed="false">
      <c r="A529" s="144" t="s">
        <v>1283</v>
      </c>
      <c r="B529" s="144"/>
      <c r="C529" s="144" t="s">
        <v>630</v>
      </c>
      <c r="D529" s="146" t="s">
        <v>630</v>
      </c>
      <c r="E529" s="145" t="n">
        <v>38</v>
      </c>
      <c r="F529" s="145" t="n">
        <v>96</v>
      </c>
      <c r="G529" s="146" t="s">
        <v>236</v>
      </c>
    </row>
    <row r="530" customFormat="false" ht="15.75" hidden="false" customHeight="true" outlineLevel="0" collapsed="false">
      <c r="A530" s="144" t="s">
        <v>1284</v>
      </c>
      <c r="B530" s="144"/>
      <c r="C530" s="144" t="s">
        <v>714</v>
      </c>
      <c r="D530" s="146" t="s">
        <v>714</v>
      </c>
      <c r="E530" s="145" t="n">
        <v>5950</v>
      </c>
      <c r="F530" s="145" t="n">
        <v>10539</v>
      </c>
      <c r="G530" s="146" t="s">
        <v>236</v>
      </c>
    </row>
    <row r="531" customFormat="false" ht="15.75" hidden="false" customHeight="true" outlineLevel="0" collapsed="false">
      <c r="A531" s="144" t="s">
        <v>1285</v>
      </c>
      <c r="B531" s="144" t="s">
        <v>1286</v>
      </c>
      <c r="C531" s="144"/>
      <c r="D531" s="146" t="s">
        <v>1286</v>
      </c>
      <c r="E531" s="145" t="n">
        <v>3500</v>
      </c>
      <c r="F531" s="145" t="n">
        <v>3500</v>
      </c>
      <c r="G531" s="146" t="s">
        <v>236</v>
      </c>
    </row>
    <row r="532" customFormat="false" ht="15.75" hidden="false" customHeight="true" outlineLevel="0" collapsed="false">
      <c r="A532" s="144" t="s">
        <v>566</v>
      </c>
      <c r="B532" s="144" t="s">
        <v>1287</v>
      </c>
      <c r="C532" s="144"/>
      <c r="D532" s="146" t="s">
        <v>1287</v>
      </c>
      <c r="E532" s="145" t="n">
        <v>8836</v>
      </c>
      <c r="F532" s="145" t="n">
        <v>8836</v>
      </c>
      <c r="G532" s="146" t="s">
        <v>236</v>
      </c>
    </row>
    <row r="533" customFormat="false" ht="15.75" hidden="false" customHeight="true" outlineLevel="0" collapsed="false">
      <c r="A533" s="144" t="s">
        <v>1288</v>
      </c>
      <c r="B533" s="144"/>
      <c r="C533" s="144" t="s">
        <v>630</v>
      </c>
      <c r="D533" s="146" t="s">
        <v>630</v>
      </c>
      <c r="E533" s="145" t="n">
        <v>38</v>
      </c>
      <c r="F533" s="145" t="n">
        <v>96</v>
      </c>
      <c r="G533" s="146" t="s">
        <v>236</v>
      </c>
    </row>
    <row r="534" customFormat="false" ht="15.75" hidden="false" customHeight="true" outlineLevel="0" collapsed="false">
      <c r="A534" s="144" t="s">
        <v>1289</v>
      </c>
      <c r="B534" s="144" t="s">
        <v>957</v>
      </c>
      <c r="C534" s="144"/>
      <c r="D534" s="146" t="s">
        <v>957</v>
      </c>
      <c r="E534" s="145" t="n">
        <v>6000</v>
      </c>
      <c r="F534" s="145" t="n">
        <v>6000</v>
      </c>
      <c r="G534" s="146" t="s">
        <v>236</v>
      </c>
    </row>
    <row r="535" customFormat="false" ht="15.75" hidden="false" customHeight="true" outlineLevel="0" collapsed="false">
      <c r="A535" s="144" t="s">
        <v>1290</v>
      </c>
      <c r="B535" s="144" t="s">
        <v>965</v>
      </c>
      <c r="C535" s="144"/>
      <c r="D535" s="146" t="s">
        <v>965</v>
      </c>
      <c r="E535" s="145" t="n">
        <v>4536</v>
      </c>
      <c r="F535" s="145" t="n">
        <v>4536</v>
      </c>
      <c r="G535" s="146" t="s">
        <v>236</v>
      </c>
    </row>
    <row r="536" customFormat="false" ht="15.75" hidden="false" customHeight="true" outlineLevel="0" collapsed="false">
      <c r="A536" s="144" t="s">
        <v>1291</v>
      </c>
      <c r="B536" s="144" t="s">
        <v>761</v>
      </c>
      <c r="C536" s="144"/>
      <c r="D536" s="146" t="s">
        <v>761</v>
      </c>
      <c r="E536" s="145" t="n">
        <v>1500</v>
      </c>
      <c r="F536" s="145" t="n">
        <v>1500</v>
      </c>
      <c r="G536" s="146" t="s">
        <v>236</v>
      </c>
    </row>
    <row r="537" customFormat="false" ht="15.75" hidden="false" customHeight="true" outlineLevel="0" collapsed="false">
      <c r="A537" s="144" t="s">
        <v>1292</v>
      </c>
      <c r="B537" s="144"/>
      <c r="C537" s="144" t="s">
        <v>630</v>
      </c>
      <c r="D537" s="146" t="s">
        <v>630</v>
      </c>
      <c r="E537" s="145" t="n">
        <v>38</v>
      </c>
      <c r="F537" s="145" t="n">
        <v>96</v>
      </c>
      <c r="G537" s="146" t="s">
        <v>236</v>
      </c>
    </row>
    <row r="538" customFormat="false" ht="15.75" hidden="false" customHeight="true" outlineLevel="0" collapsed="false">
      <c r="A538" s="144" t="s">
        <v>1293</v>
      </c>
      <c r="B538" s="144" t="s">
        <v>1294</v>
      </c>
      <c r="C538" s="144"/>
      <c r="D538" s="146" t="s">
        <v>1294</v>
      </c>
      <c r="E538" s="145" t="n">
        <v>4536</v>
      </c>
      <c r="F538" s="145" t="n">
        <v>38636</v>
      </c>
      <c r="G538" s="146" t="s">
        <v>236</v>
      </c>
    </row>
    <row r="539" customFormat="false" ht="15.75" hidden="false" customHeight="true" outlineLevel="0" collapsed="false">
      <c r="A539" s="144" t="s">
        <v>1295</v>
      </c>
      <c r="B539" s="144"/>
      <c r="C539" s="144" t="s">
        <v>630</v>
      </c>
      <c r="D539" s="146" t="s">
        <v>630</v>
      </c>
      <c r="E539" s="145" t="n">
        <v>38</v>
      </c>
      <c r="F539" s="145" t="n">
        <v>96</v>
      </c>
      <c r="G539" s="146" t="s">
        <v>236</v>
      </c>
    </row>
    <row r="540" customFormat="false" ht="15.75" hidden="false" customHeight="true" outlineLevel="0" collapsed="false">
      <c r="A540" s="144" t="s">
        <v>1296</v>
      </c>
      <c r="B540" s="144"/>
      <c r="C540" s="144" t="s">
        <v>630</v>
      </c>
      <c r="D540" s="146" t="s">
        <v>630</v>
      </c>
      <c r="E540" s="145" t="n">
        <v>38</v>
      </c>
      <c r="F540" s="145" t="n">
        <v>96</v>
      </c>
      <c r="G540" s="146" t="s">
        <v>236</v>
      </c>
    </row>
    <row r="541" customFormat="false" ht="15.75" hidden="false" customHeight="true" outlineLevel="0" collapsed="false">
      <c r="A541" s="144" t="s">
        <v>1297</v>
      </c>
      <c r="B541" s="144" t="s">
        <v>1298</v>
      </c>
      <c r="C541" s="144"/>
      <c r="D541" s="146" t="s">
        <v>1298</v>
      </c>
      <c r="E541" s="145" t="n">
        <v>220</v>
      </c>
      <c r="F541" s="145" t="n">
        <v>464</v>
      </c>
      <c r="G541" s="146" t="s">
        <v>236</v>
      </c>
    </row>
    <row r="542" customFormat="false" ht="15.75" hidden="false" customHeight="true" outlineLevel="0" collapsed="false">
      <c r="A542" s="144" t="s">
        <v>1299</v>
      </c>
      <c r="B542" s="144"/>
      <c r="C542" s="144" t="s">
        <v>630</v>
      </c>
      <c r="D542" s="146" t="s">
        <v>630</v>
      </c>
      <c r="E542" s="145" t="n">
        <v>38</v>
      </c>
      <c r="F542" s="145" t="n">
        <v>96</v>
      </c>
      <c r="G542" s="146" t="s">
        <v>236</v>
      </c>
    </row>
    <row r="543" customFormat="false" ht="15.75" hidden="false" customHeight="true" outlineLevel="0" collapsed="false">
      <c r="A543" s="144" t="s">
        <v>1300</v>
      </c>
      <c r="B543" s="144" t="s">
        <v>1301</v>
      </c>
      <c r="C543" s="144"/>
      <c r="D543" s="146" t="s">
        <v>1301</v>
      </c>
      <c r="E543" s="145" t="n">
        <v>9017</v>
      </c>
      <c r="F543" s="145" t="n">
        <v>9017</v>
      </c>
      <c r="G543" s="146" t="s">
        <v>236</v>
      </c>
    </row>
    <row r="544" customFormat="false" ht="15.75" hidden="false" customHeight="true" outlineLevel="0" collapsed="false">
      <c r="A544" s="144" t="s">
        <v>1302</v>
      </c>
      <c r="B544" s="144" t="s">
        <v>1303</v>
      </c>
      <c r="C544" s="144"/>
      <c r="D544" s="146" t="s">
        <v>1303</v>
      </c>
      <c r="E544" s="145" t="n">
        <v>2361</v>
      </c>
      <c r="F544" s="145" t="n">
        <v>3656</v>
      </c>
      <c r="G544" s="146" t="s">
        <v>236</v>
      </c>
    </row>
    <row r="545" customFormat="false" ht="15.75" hidden="false" customHeight="true" outlineLevel="0" collapsed="false">
      <c r="A545" s="144" t="s">
        <v>1304</v>
      </c>
      <c r="B545" s="144"/>
      <c r="C545" s="144" t="s">
        <v>630</v>
      </c>
      <c r="D545" s="146" t="s">
        <v>630</v>
      </c>
      <c r="E545" s="145" t="n">
        <v>38</v>
      </c>
      <c r="F545" s="145" t="n">
        <v>96</v>
      </c>
      <c r="G545" s="146" t="s">
        <v>236</v>
      </c>
    </row>
    <row r="546" customFormat="false" ht="15.75" hidden="false" customHeight="true" outlineLevel="0" collapsed="false">
      <c r="A546" s="144" t="s">
        <v>1305</v>
      </c>
      <c r="B546" s="144"/>
      <c r="C546" s="144" t="s">
        <v>630</v>
      </c>
      <c r="D546" s="146" t="s">
        <v>630</v>
      </c>
      <c r="E546" s="145" t="n">
        <v>38</v>
      </c>
      <c r="F546" s="145" t="n">
        <v>96</v>
      </c>
      <c r="G546" s="146" t="s">
        <v>236</v>
      </c>
    </row>
    <row r="547" customFormat="false" ht="15.75" hidden="false" customHeight="true" outlineLevel="0" collapsed="false">
      <c r="A547" s="144" t="s">
        <v>1306</v>
      </c>
      <c r="B547" s="144"/>
      <c r="C547" s="144" t="s">
        <v>630</v>
      </c>
      <c r="D547" s="146" t="s">
        <v>630</v>
      </c>
      <c r="E547" s="145" t="n">
        <v>38</v>
      </c>
      <c r="F547" s="145" t="n">
        <v>96</v>
      </c>
      <c r="G547" s="146" t="s">
        <v>236</v>
      </c>
    </row>
    <row r="548" customFormat="false" ht="15.75" hidden="false" customHeight="true" outlineLevel="0" collapsed="false">
      <c r="A548" s="144" t="s">
        <v>1307</v>
      </c>
      <c r="B548" s="144"/>
      <c r="C548" s="144" t="s">
        <v>630</v>
      </c>
      <c r="D548" s="146" t="s">
        <v>630</v>
      </c>
      <c r="E548" s="145" t="n">
        <v>38</v>
      </c>
      <c r="F548" s="145" t="n">
        <v>96</v>
      </c>
      <c r="G548" s="146" t="s">
        <v>236</v>
      </c>
    </row>
    <row r="549" customFormat="false" ht="15.75" hidden="false" customHeight="true" outlineLevel="0" collapsed="false">
      <c r="A549" s="144" t="s">
        <v>1308</v>
      </c>
      <c r="B549" s="144"/>
      <c r="C549" s="144" t="s">
        <v>714</v>
      </c>
      <c r="D549" s="146" t="s">
        <v>714</v>
      </c>
      <c r="E549" s="145" t="n">
        <v>5950</v>
      </c>
      <c r="F549" s="145" t="n">
        <v>10539</v>
      </c>
      <c r="G549" s="146" t="s">
        <v>236</v>
      </c>
    </row>
    <row r="550" customFormat="false" ht="15.75" hidden="false" customHeight="true" outlineLevel="0" collapsed="false">
      <c r="A550" s="144" t="s">
        <v>1309</v>
      </c>
      <c r="B550" s="144"/>
      <c r="C550" s="144" t="s">
        <v>630</v>
      </c>
      <c r="D550" s="146" t="s">
        <v>630</v>
      </c>
      <c r="E550" s="145" t="n">
        <v>38</v>
      </c>
      <c r="F550" s="145" t="n">
        <v>96</v>
      </c>
      <c r="G550" s="146" t="s">
        <v>236</v>
      </c>
    </row>
    <row r="551" customFormat="false" ht="15.75" hidden="false" customHeight="true" outlineLevel="0" collapsed="false">
      <c r="A551" s="144" t="s">
        <v>1310</v>
      </c>
      <c r="B551" s="144"/>
      <c r="C551" s="144" t="s">
        <v>630</v>
      </c>
      <c r="D551" s="146" t="s">
        <v>630</v>
      </c>
      <c r="E551" s="145" t="n">
        <v>38</v>
      </c>
      <c r="F551" s="145" t="n">
        <v>96</v>
      </c>
      <c r="G551" s="146" t="s">
        <v>236</v>
      </c>
    </row>
    <row r="552" customFormat="false" ht="15.75" hidden="false" customHeight="true" outlineLevel="0" collapsed="false">
      <c r="A552" s="144" t="s">
        <v>1311</v>
      </c>
      <c r="B552" s="144" t="s">
        <v>790</v>
      </c>
      <c r="C552" s="144"/>
      <c r="D552" s="146" t="s">
        <v>790</v>
      </c>
      <c r="E552" s="145" t="n">
        <v>28000</v>
      </c>
      <c r="F552" s="145" t="n">
        <v>28000</v>
      </c>
      <c r="G552" s="146" t="s">
        <v>236</v>
      </c>
    </row>
    <row r="553" customFormat="false" ht="15.75" hidden="false" customHeight="true" outlineLevel="0" collapsed="false">
      <c r="A553" s="144" t="s">
        <v>1312</v>
      </c>
      <c r="B553" s="144" t="s">
        <v>1313</v>
      </c>
      <c r="C553" s="144"/>
      <c r="D553" s="146" t="s">
        <v>1313</v>
      </c>
      <c r="E553" s="145" t="n">
        <v>227</v>
      </c>
      <c r="F553" s="145" t="n">
        <v>273</v>
      </c>
      <c r="G553" s="146" t="s">
        <v>236</v>
      </c>
    </row>
    <row r="554" customFormat="false" ht="15.75" hidden="false" customHeight="true" outlineLevel="0" collapsed="false">
      <c r="A554" s="144" t="s">
        <v>1314</v>
      </c>
      <c r="B554" s="144"/>
      <c r="C554" s="144" t="s">
        <v>630</v>
      </c>
      <c r="D554" s="146" t="s">
        <v>630</v>
      </c>
      <c r="E554" s="145" t="n">
        <v>38</v>
      </c>
      <c r="F554" s="145" t="n">
        <v>96</v>
      </c>
      <c r="G554" s="146" t="s">
        <v>236</v>
      </c>
    </row>
    <row r="555" customFormat="false" ht="15.75" hidden="false" customHeight="true" outlineLevel="0" collapsed="false">
      <c r="A555" s="144" t="s">
        <v>1315</v>
      </c>
      <c r="B555" s="144"/>
      <c r="C555" s="144" t="s">
        <v>630</v>
      </c>
      <c r="D555" s="146" t="s">
        <v>630</v>
      </c>
      <c r="E555" s="145" t="n">
        <v>38</v>
      </c>
      <c r="F555" s="145" t="n">
        <v>96</v>
      </c>
      <c r="G555" s="146" t="s">
        <v>236</v>
      </c>
    </row>
    <row r="556" customFormat="false" ht="15.75" hidden="false" customHeight="true" outlineLevel="0" collapsed="false">
      <c r="A556" s="144" t="s">
        <v>1316</v>
      </c>
      <c r="B556" s="144"/>
      <c r="C556" s="144" t="s">
        <v>630</v>
      </c>
      <c r="D556" s="146" t="s">
        <v>630</v>
      </c>
      <c r="E556" s="145" t="n">
        <v>38</v>
      </c>
      <c r="F556" s="145" t="n">
        <v>96</v>
      </c>
      <c r="G556" s="146" t="s">
        <v>236</v>
      </c>
    </row>
    <row r="557" customFormat="false" ht="15.75" hidden="false" customHeight="true" outlineLevel="0" collapsed="false">
      <c r="A557" s="144" t="s">
        <v>1317</v>
      </c>
      <c r="B557" s="144" t="s">
        <v>1318</v>
      </c>
      <c r="C557" s="144"/>
      <c r="D557" s="146" t="s">
        <v>1318</v>
      </c>
      <c r="E557" s="145" t="n">
        <v>695</v>
      </c>
      <c r="F557" s="145" t="n">
        <v>7165</v>
      </c>
      <c r="G557" s="146" t="s">
        <v>236</v>
      </c>
    </row>
    <row r="558" customFormat="false" ht="15.75" hidden="false" customHeight="true" outlineLevel="0" collapsed="false">
      <c r="A558" s="144" t="s">
        <v>1319</v>
      </c>
      <c r="B558" s="144"/>
      <c r="C558" s="144" t="s">
        <v>630</v>
      </c>
      <c r="D558" s="146" t="s">
        <v>630</v>
      </c>
      <c r="E558" s="145" t="n">
        <v>38</v>
      </c>
      <c r="F558" s="145" t="n">
        <v>96</v>
      </c>
      <c r="G558" s="146" t="s">
        <v>236</v>
      </c>
    </row>
    <row r="559" customFormat="false" ht="15.75" hidden="false" customHeight="true" outlineLevel="0" collapsed="false">
      <c r="A559" s="144" t="s">
        <v>1320</v>
      </c>
      <c r="B559" s="144" t="s">
        <v>666</v>
      </c>
      <c r="C559" s="144"/>
      <c r="D559" s="146" t="s">
        <v>666</v>
      </c>
      <c r="E559" s="145" t="n">
        <v>1400</v>
      </c>
      <c r="F559" s="145" t="n">
        <v>1400</v>
      </c>
      <c r="G559" s="146" t="s">
        <v>236</v>
      </c>
    </row>
    <row r="560" customFormat="false" ht="15.75" hidden="false" customHeight="true" outlineLevel="0" collapsed="false">
      <c r="A560" s="144" t="s">
        <v>1321</v>
      </c>
      <c r="B560" s="144" t="s">
        <v>1322</v>
      </c>
      <c r="C560" s="144"/>
      <c r="D560" s="146" t="s">
        <v>1322</v>
      </c>
      <c r="E560" s="145" t="n">
        <v>55</v>
      </c>
      <c r="F560" s="145" t="n">
        <v>467</v>
      </c>
      <c r="G560" s="146" t="s">
        <v>236</v>
      </c>
    </row>
    <row r="561" customFormat="false" ht="15.75" hidden="false" customHeight="true" outlineLevel="0" collapsed="false">
      <c r="A561" s="144" t="s">
        <v>1323</v>
      </c>
      <c r="B561" s="144"/>
      <c r="C561" s="144" t="s">
        <v>630</v>
      </c>
      <c r="D561" s="146" t="s">
        <v>630</v>
      </c>
      <c r="E561" s="145" t="n">
        <v>38</v>
      </c>
      <c r="F561" s="145" t="n">
        <v>96</v>
      </c>
      <c r="G561" s="146" t="s">
        <v>236</v>
      </c>
    </row>
    <row r="562" customFormat="false" ht="15.75" hidden="false" customHeight="true" outlineLevel="0" collapsed="false">
      <c r="A562" s="144" t="s">
        <v>1324</v>
      </c>
      <c r="B562" s="144"/>
      <c r="C562" s="144" t="s">
        <v>630</v>
      </c>
      <c r="D562" s="146" t="s">
        <v>630</v>
      </c>
      <c r="E562" s="145" t="n">
        <v>38</v>
      </c>
      <c r="F562" s="145" t="n">
        <v>96</v>
      </c>
      <c r="G562" s="146" t="s">
        <v>236</v>
      </c>
    </row>
    <row r="563" customFormat="false" ht="15.75" hidden="false" customHeight="true" outlineLevel="0" collapsed="false">
      <c r="A563" s="144" t="s">
        <v>1325</v>
      </c>
      <c r="B563" s="144" t="s">
        <v>1326</v>
      </c>
      <c r="C563" s="144"/>
      <c r="D563" s="146" t="s">
        <v>1326</v>
      </c>
      <c r="E563" s="145" t="n">
        <v>166</v>
      </c>
      <c r="F563" s="145" t="n">
        <v>969</v>
      </c>
      <c r="G563" s="146" t="s">
        <v>236</v>
      </c>
    </row>
    <row r="564" customFormat="false" ht="15.75" hidden="false" customHeight="true" outlineLevel="0" collapsed="false">
      <c r="A564" s="144" t="s">
        <v>1327</v>
      </c>
      <c r="B564" s="144"/>
      <c r="C564" s="144" t="s">
        <v>630</v>
      </c>
      <c r="D564" s="146" t="s">
        <v>630</v>
      </c>
      <c r="E564" s="145" t="n">
        <v>38</v>
      </c>
      <c r="F564" s="145" t="n">
        <v>96</v>
      </c>
      <c r="G564" s="146" t="s">
        <v>236</v>
      </c>
    </row>
    <row r="565" customFormat="false" ht="15.75" hidden="false" customHeight="true" outlineLevel="0" collapsed="false">
      <c r="A565" s="144" t="s">
        <v>1328</v>
      </c>
      <c r="B565" s="144"/>
      <c r="C565" s="144" t="s">
        <v>630</v>
      </c>
      <c r="D565" s="146" t="s">
        <v>630</v>
      </c>
      <c r="E565" s="145" t="n">
        <v>38</v>
      </c>
      <c r="F565" s="145" t="n">
        <v>96</v>
      </c>
      <c r="G565" s="146" t="s">
        <v>236</v>
      </c>
    </row>
    <row r="566" customFormat="false" ht="15.75" hidden="false" customHeight="true" outlineLevel="0" collapsed="false">
      <c r="A566" s="144" t="s">
        <v>1329</v>
      </c>
      <c r="B566" s="144"/>
      <c r="C566" s="144" t="s">
        <v>630</v>
      </c>
      <c r="D566" s="146" t="s">
        <v>630</v>
      </c>
      <c r="E566" s="145" t="n">
        <v>38</v>
      </c>
      <c r="F566" s="145" t="n">
        <v>96</v>
      </c>
      <c r="G566" s="146" t="s">
        <v>236</v>
      </c>
    </row>
    <row r="567" customFormat="false" ht="15.75" hidden="false" customHeight="true" outlineLevel="0" collapsed="false">
      <c r="A567" s="144" t="s">
        <v>1330</v>
      </c>
      <c r="B567" s="144"/>
      <c r="C567" s="144" t="s">
        <v>630</v>
      </c>
      <c r="D567" s="146" t="s">
        <v>630</v>
      </c>
      <c r="E567" s="145" t="n">
        <v>38</v>
      </c>
      <c r="F567" s="145" t="n">
        <v>96</v>
      </c>
      <c r="G567" s="146" t="s">
        <v>236</v>
      </c>
    </row>
    <row r="568" customFormat="false" ht="15.75" hidden="false" customHeight="true" outlineLevel="0" collapsed="false">
      <c r="A568" s="144" t="s">
        <v>1331</v>
      </c>
      <c r="B568" s="144"/>
      <c r="C568" s="144" t="s">
        <v>630</v>
      </c>
      <c r="D568" s="146" t="s">
        <v>630</v>
      </c>
      <c r="E568" s="145" t="n">
        <v>38</v>
      </c>
      <c r="F568" s="145" t="n">
        <v>96</v>
      </c>
      <c r="G568" s="146" t="s">
        <v>236</v>
      </c>
    </row>
    <row r="569" customFormat="false" ht="15.75" hidden="false" customHeight="true" outlineLevel="0" collapsed="false">
      <c r="A569" s="144" t="s">
        <v>1332</v>
      </c>
      <c r="B569" s="144" t="s">
        <v>567</v>
      </c>
      <c r="C569" s="144"/>
      <c r="D569" s="146" t="s">
        <v>567</v>
      </c>
      <c r="E569" s="145" t="n">
        <v>500</v>
      </c>
      <c r="F569" s="145" t="n">
        <v>2000</v>
      </c>
      <c r="G569" s="146" t="s">
        <v>236</v>
      </c>
    </row>
    <row r="570" customFormat="false" ht="15.75" hidden="false" customHeight="true" outlineLevel="0" collapsed="false">
      <c r="A570" s="144" t="s">
        <v>1333</v>
      </c>
      <c r="B570" s="144"/>
      <c r="C570" s="144" t="s">
        <v>714</v>
      </c>
      <c r="D570" s="146" t="s">
        <v>714</v>
      </c>
      <c r="E570" s="145" t="n">
        <v>5950</v>
      </c>
      <c r="F570" s="145" t="n">
        <v>10539</v>
      </c>
      <c r="G570" s="146" t="s">
        <v>236</v>
      </c>
    </row>
    <row r="571" customFormat="false" ht="15.75" hidden="false" customHeight="true" outlineLevel="0" collapsed="false">
      <c r="A571" s="144" t="s">
        <v>1334</v>
      </c>
      <c r="B571" s="144"/>
      <c r="C571" s="144" t="s">
        <v>630</v>
      </c>
      <c r="D571" s="146" t="s">
        <v>630</v>
      </c>
      <c r="E571" s="145" t="n">
        <v>38</v>
      </c>
      <c r="F571" s="145" t="n">
        <v>96</v>
      </c>
      <c r="G571" s="146" t="s">
        <v>236</v>
      </c>
    </row>
    <row r="572" customFormat="false" ht="15.75" hidden="false" customHeight="true" outlineLevel="0" collapsed="false">
      <c r="A572" s="144" t="s">
        <v>1335</v>
      </c>
      <c r="B572" s="144" t="s">
        <v>844</v>
      </c>
      <c r="C572" s="144"/>
      <c r="D572" s="146" t="s">
        <v>844</v>
      </c>
      <c r="E572" s="145" t="n">
        <v>20</v>
      </c>
      <c r="F572" s="145" t="n">
        <v>28</v>
      </c>
      <c r="G572" s="146" t="s">
        <v>236</v>
      </c>
    </row>
    <row r="573" customFormat="false" ht="15.75" hidden="false" customHeight="true" outlineLevel="0" collapsed="false">
      <c r="A573" s="144" t="s">
        <v>1336</v>
      </c>
      <c r="B573" s="144" t="s">
        <v>1337</v>
      </c>
      <c r="C573" s="144"/>
      <c r="D573" s="146" t="s">
        <v>1337</v>
      </c>
      <c r="E573" s="145" t="n">
        <v>142</v>
      </c>
      <c r="F573" s="145" t="n">
        <v>494</v>
      </c>
      <c r="G573" s="146" t="s">
        <v>236</v>
      </c>
    </row>
    <row r="574" customFormat="false" ht="15.75" hidden="false" customHeight="true" outlineLevel="0" collapsed="false">
      <c r="A574" s="144" t="s">
        <v>1338</v>
      </c>
      <c r="B574" s="144"/>
      <c r="C574" s="144" t="s">
        <v>630</v>
      </c>
      <c r="D574" s="146" t="s">
        <v>630</v>
      </c>
      <c r="E574" s="145" t="n">
        <v>38</v>
      </c>
      <c r="F574" s="145" t="n">
        <v>96</v>
      </c>
      <c r="G574" s="146" t="s">
        <v>236</v>
      </c>
    </row>
    <row r="575" customFormat="false" ht="15.75" hidden="false" customHeight="true" outlineLevel="0" collapsed="false">
      <c r="A575" s="144" t="s">
        <v>1339</v>
      </c>
      <c r="B575" s="144" t="s">
        <v>1340</v>
      </c>
      <c r="C575" s="144"/>
      <c r="D575" s="146" t="s">
        <v>1340</v>
      </c>
      <c r="E575" s="145" t="n">
        <v>1476</v>
      </c>
      <c r="F575" s="145" t="n">
        <v>2013</v>
      </c>
      <c r="G575" s="146" t="s">
        <v>236</v>
      </c>
    </row>
    <row r="576" customFormat="false" ht="15.75" hidden="false" customHeight="true" outlineLevel="0" collapsed="false">
      <c r="A576" s="144" t="s">
        <v>1341</v>
      </c>
      <c r="B576" s="144"/>
      <c r="C576" s="144" t="s">
        <v>630</v>
      </c>
      <c r="D576" s="146" t="s">
        <v>630</v>
      </c>
      <c r="E576" s="145" t="n">
        <v>38</v>
      </c>
      <c r="F576" s="145" t="n">
        <v>96</v>
      </c>
      <c r="G576" s="146" t="s">
        <v>236</v>
      </c>
    </row>
    <row r="577" customFormat="false" ht="15.75" hidden="false" customHeight="true" outlineLevel="0" collapsed="false">
      <c r="A577" s="144" t="s">
        <v>1342</v>
      </c>
      <c r="B577" s="144"/>
      <c r="C577" s="144" t="s">
        <v>630</v>
      </c>
      <c r="D577" s="146" t="s">
        <v>630</v>
      </c>
      <c r="E577" s="145" t="n">
        <v>38</v>
      </c>
      <c r="F577" s="145" t="n">
        <v>96</v>
      </c>
      <c r="G577" s="146" t="s">
        <v>236</v>
      </c>
    </row>
    <row r="578" customFormat="false" ht="15.75" hidden="false" customHeight="true" outlineLevel="0" collapsed="false">
      <c r="A578" s="144" t="s">
        <v>1343</v>
      </c>
      <c r="B578" s="144" t="s">
        <v>1344</v>
      </c>
      <c r="C578" s="144"/>
      <c r="D578" s="146" t="s">
        <v>1344</v>
      </c>
      <c r="E578" s="145" t="n">
        <v>300</v>
      </c>
      <c r="F578" s="145" t="n">
        <v>1079</v>
      </c>
      <c r="G578" s="146" t="s">
        <v>236</v>
      </c>
    </row>
    <row r="579" customFormat="false" ht="15.75" hidden="false" customHeight="true" outlineLevel="0" collapsed="false">
      <c r="A579" s="144" t="s">
        <v>1345</v>
      </c>
      <c r="B579" s="144"/>
      <c r="C579" s="144" t="s">
        <v>630</v>
      </c>
      <c r="D579" s="146" t="s">
        <v>630</v>
      </c>
      <c r="E579" s="145" t="n">
        <v>38</v>
      </c>
      <c r="F579" s="145" t="n">
        <v>96</v>
      </c>
      <c r="G579" s="146" t="s">
        <v>236</v>
      </c>
    </row>
    <row r="580" customFormat="false" ht="15.75" hidden="false" customHeight="true" outlineLevel="0" collapsed="false">
      <c r="A580" s="144" t="s">
        <v>1346</v>
      </c>
      <c r="B580" s="144" t="s">
        <v>1347</v>
      </c>
      <c r="C580" s="144"/>
      <c r="D580" s="146" t="s">
        <v>1347</v>
      </c>
      <c r="E580" s="145" t="n">
        <v>2200</v>
      </c>
      <c r="F580" s="145" t="n">
        <v>2200</v>
      </c>
      <c r="G580" s="146" t="s">
        <v>236</v>
      </c>
    </row>
    <row r="581" customFormat="false" ht="15.75" hidden="false" customHeight="true" outlineLevel="0" collapsed="false">
      <c r="A581" s="144" t="s">
        <v>1348</v>
      </c>
      <c r="B581" s="144"/>
      <c r="C581" s="144" t="s">
        <v>630</v>
      </c>
      <c r="D581" s="146" t="s">
        <v>630</v>
      </c>
      <c r="E581" s="145" t="n">
        <v>38</v>
      </c>
      <c r="F581" s="145" t="n">
        <v>96</v>
      </c>
      <c r="G581" s="146" t="s">
        <v>236</v>
      </c>
    </row>
    <row r="582" customFormat="false" ht="15.75" hidden="false" customHeight="true" outlineLevel="0" collapsed="false">
      <c r="A582" s="144" t="s">
        <v>1349</v>
      </c>
      <c r="B582" s="144" t="s">
        <v>1350</v>
      </c>
      <c r="C582" s="144"/>
      <c r="D582" s="146" t="s">
        <v>1350</v>
      </c>
      <c r="E582" s="145" t="n">
        <v>497</v>
      </c>
      <c r="F582" s="145" t="n">
        <v>497</v>
      </c>
      <c r="G582" s="146" t="s">
        <v>236</v>
      </c>
    </row>
    <row r="583" customFormat="false" ht="15.75" hidden="false" customHeight="true" outlineLevel="0" collapsed="false">
      <c r="A583" s="144" t="s">
        <v>1351</v>
      </c>
      <c r="B583" s="144"/>
      <c r="C583" s="144" t="s">
        <v>630</v>
      </c>
      <c r="D583" s="146" t="s">
        <v>630</v>
      </c>
      <c r="E583" s="145" t="n">
        <v>38</v>
      </c>
      <c r="F583" s="145" t="n">
        <v>96</v>
      </c>
      <c r="G583" s="146" t="s">
        <v>236</v>
      </c>
    </row>
    <row r="584" customFormat="false" ht="15.75" hidden="false" customHeight="true" outlineLevel="0" collapsed="false">
      <c r="A584" s="144" t="s">
        <v>1352</v>
      </c>
      <c r="B584" s="144" t="s">
        <v>1353</v>
      </c>
      <c r="C584" s="144"/>
      <c r="D584" s="146" t="s">
        <v>1353</v>
      </c>
      <c r="E584" s="145" t="n">
        <v>13636</v>
      </c>
      <c r="F584" s="145" t="n">
        <v>13636</v>
      </c>
      <c r="G584" s="146" t="s">
        <v>236</v>
      </c>
    </row>
    <row r="585" customFormat="false" ht="15.75" hidden="false" customHeight="true" outlineLevel="0" collapsed="false">
      <c r="A585" s="144" t="s">
        <v>1354</v>
      </c>
      <c r="B585" s="144" t="s">
        <v>1355</v>
      </c>
      <c r="C585" s="144"/>
      <c r="D585" s="146" t="s">
        <v>1355</v>
      </c>
      <c r="E585" s="145" t="n">
        <v>18140</v>
      </c>
      <c r="F585" s="145" t="n">
        <v>27220</v>
      </c>
      <c r="G585" s="146" t="s">
        <v>236</v>
      </c>
    </row>
    <row r="586" customFormat="false" ht="15.75" hidden="false" customHeight="true" outlineLevel="0" collapsed="false">
      <c r="A586" s="144" t="s">
        <v>1356</v>
      </c>
      <c r="B586" s="144" t="s">
        <v>1357</v>
      </c>
      <c r="C586" s="144"/>
      <c r="D586" s="146" t="s">
        <v>1357</v>
      </c>
      <c r="E586" s="145" t="n">
        <v>1711</v>
      </c>
      <c r="F586" s="145" t="n">
        <v>1711</v>
      </c>
      <c r="G586" s="146" t="s">
        <v>236</v>
      </c>
    </row>
    <row r="587" customFormat="false" ht="15.75" hidden="false" customHeight="true" outlineLevel="0" collapsed="false">
      <c r="A587" s="144" t="s">
        <v>1358</v>
      </c>
      <c r="B587" s="144"/>
      <c r="C587" s="144" t="s">
        <v>630</v>
      </c>
      <c r="D587" s="146" t="s">
        <v>630</v>
      </c>
      <c r="E587" s="145" t="n">
        <v>38</v>
      </c>
      <c r="F587" s="145" t="n">
        <v>96</v>
      </c>
      <c r="G587" s="146" t="s">
        <v>236</v>
      </c>
    </row>
    <row r="588" customFormat="false" ht="15.75" hidden="false" customHeight="true" outlineLevel="0" collapsed="false">
      <c r="A588" s="144" t="s">
        <v>1359</v>
      </c>
      <c r="B588" s="144"/>
      <c r="C588" s="144" t="s">
        <v>630</v>
      </c>
      <c r="D588" s="146" t="s">
        <v>630</v>
      </c>
      <c r="E588" s="145" t="n">
        <v>38</v>
      </c>
      <c r="F588" s="145" t="n">
        <v>96</v>
      </c>
      <c r="G588" s="146" t="s">
        <v>236</v>
      </c>
    </row>
    <row r="589" customFormat="false" ht="15.75" hidden="false" customHeight="true" outlineLevel="0" collapsed="false">
      <c r="A589" s="144" t="s">
        <v>1360</v>
      </c>
      <c r="B589" s="144"/>
      <c r="C589" s="144" t="s">
        <v>630</v>
      </c>
      <c r="D589" s="146" t="s">
        <v>630</v>
      </c>
      <c r="E589" s="145" t="n">
        <v>38</v>
      </c>
      <c r="F589" s="145" t="n">
        <v>96</v>
      </c>
      <c r="G589" s="146" t="s">
        <v>236</v>
      </c>
    </row>
    <row r="590" customFormat="false" ht="15.75" hidden="false" customHeight="true" outlineLevel="0" collapsed="false">
      <c r="A590" s="144" t="s">
        <v>1361</v>
      </c>
      <c r="B590" s="144"/>
      <c r="C590" s="144" t="s">
        <v>630</v>
      </c>
      <c r="D590" s="146" t="s">
        <v>630</v>
      </c>
      <c r="E590" s="145" t="n">
        <v>38</v>
      </c>
      <c r="F590" s="145" t="n">
        <v>96</v>
      </c>
      <c r="G590" s="146" t="s">
        <v>236</v>
      </c>
    </row>
    <row r="591" customFormat="false" ht="15.75" hidden="false" customHeight="true" outlineLevel="0" collapsed="false">
      <c r="A591" s="144" t="s">
        <v>1362</v>
      </c>
      <c r="B591" s="144" t="s">
        <v>1363</v>
      </c>
      <c r="C591" s="144"/>
      <c r="D591" s="146" t="s">
        <v>1363</v>
      </c>
      <c r="E591" s="145" t="n">
        <v>8182</v>
      </c>
      <c r="F591" s="145" t="n">
        <v>27300</v>
      </c>
      <c r="G591" s="146" t="s">
        <v>236</v>
      </c>
    </row>
    <row r="592" customFormat="false" ht="15.75" hidden="false" customHeight="true" outlineLevel="0" collapsed="false">
      <c r="A592" s="144" t="s">
        <v>1364</v>
      </c>
      <c r="B592" s="144" t="s">
        <v>1365</v>
      </c>
      <c r="C592" s="144"/>
      <c r="D592" s="146" t="s">
        <v>1365</v>
      </c>
      <c r="E592" s="145" t="n">
        <v>40</v>
      </c>
      <c r="F592" s="145" t="n">
        <v>55</v>
      </c>
      <c r="G592" s="146" t="s">
        <v>236</v>
      </c>
    </row>
    <row r="593" customFormat="false" ht="15.75" hidden="false" customHeight="true" outlineLevel="0" collapsed="false">
      <c r="A593" s="144" t="s">
        <v>1366</v>
      </c>
      <c r="B593" s="144"/>
      <c r="C593" s="144" t="s">
        <v>630</v>
      </c>
      <c r="D593" s="146" t="s">
        <v>630</v>
      </c>
      <c r="E593" s="145" t="n">
        <v>38</v>
      </c>
      <c r="F593" s="145" t="n">
        <v>96</v>
      </c>
      <c r="G593" s="146" t="s">
        <v>236</v>
      </c>
    </row>
    <row r="594" customFormat="false" ht="15.75" hidden="false" customHeight="true" outlineLevel="0" collapsed="false">
      <c r="A594" s="144" t="s">
        <v>1367</v>
      </c>
      <c r="B594" s="144"/>
      <c r="C594" s="144" t="s">
        <v>630</v>
      </c>
      <c r="D594" s="146" t="s">
        <v>630</v>
      </c>
      <c r="E594" s="145" t="n">
        <v>38</v>
      </c>
      <c r="F594" s="145" t="n">
        <v>96</v>
      </c>
      <c r="G594" s="146" t="s">
        <v>236</v>
      </c>
    </row>
    <row r="595" customFormat="false" ht="15.75" hidden="false" customHeight="true" outlineLevel="0" collapsed="false">
      <c r="A595" s="144" t="s">
        <v>1368</v>
      </c>
      <c r="B595" s="144"/>
      <c r="C595" s="144" t="s">
        <v>630</v>
      </c>
      <c r="D595" s="146" t="s">
        <v>630</v>
      </c>
      <c r="E595" s="145" t="n">
        <v>38</v>
      </c>
      <c r="F595" s="145" t="n">
        <v>96</v>
      </c>
      <c r="G595" s="146" t="s">
        <v>236</v>
      </c>
    </row>
    <row r="596" customFormat="false" ht="15.75" hidden="false" customHeight="true" outlineLevel="0" collapsed="false">
      <c r="A596" s="144" t="s">
        <v>1369</v>
      </c>
      <c r="B596" s="144"/>
      <c r="C596" s="144" t="s">
        <v>630</v>
      </c>
      <c r="D596" s="146" t="s">
        <v>630</v>
      </c>
      <c r="E596" s="145" t="n">
        <v>38</v>
      </c>
      <c r="F596" s="145" t="n">
        <v>96</v>
      </c>
      <c r="G596" s="146" t="s">
        <v>236</v>
      </c>
    </row>
    <row r="597" customFormat="false" ht="15.75" hidden="false" customHeight="true" outlineLevel="0" collapsed="false">
      <c r="A597" s="144" t="s">
        <v>1370</v>
      </c>
      <c r="B597" s="144"/>
      <c r="C597" s="144" t="s">
        <v>630</v>
      </c>
      <c r="D597" s="146" t="s">
        <v>630</v>
      </c>
      <c r="E597" s="145" t="n">
        <v>38</v>
      </c>
      <c r="F597" s="145" t="n">
        <v>96</v>
      </c>
      <c r="G597" s="146" t="s">
        <v>236</v>
      </c>
    </row>
    <row r="598" customFormat="false" ht="15.75" hidden="false" customHeight="true" outlineLevel="0" collapsed="false">
      <c r="A598" s="144" t="s">
        <v>1371</v>
      </c>
      <c r="B598" s="144" t="s">
        <v>719</v>
      </c>
      <c r="C598" s="144"/>
      <c r="D598" s="146" t="s">
        <v>719</v>
      </c>
      <c r="E598" s="145" t="n">
        <v>2000</v>
      </c>
      <c r="F598" s="145" t="n">
        <v>2000</v>
      </c>
      <c r="G598" s="146" t="s">
        <v>236</v>
      </c>
    </row>
    <row r="599" customFormat="false" ht="15.75" hidden="false" customHeight="true" outlineLevel="0" collapsed="false">
      <c r="A599" s="144" t="s">
        <v>1372</v>
      </c>
      <c r="B599" s="144"/>
      <c r="C599" s="144" t="s">
        <v>630</v>
      </c>
      <c r="D599" s="146" t="s">
        <v>630</v>
      </c>
      <c r="E599" s="145" t="n">
        <v>38</v>
      </c>
      <c r="F599" s="145" t="n">
        <v>96</v>
      </c>
      <c r="G599" s="146" t="s">
        <v>236</v>
      </c>
    </row>
    <row r="600" customFormat="false" ht="15.75" hidden="false" customHeight="true" outlineLevel="0" collapsed="false">
      <c r="A600" s="144" t="s">
        <v>1373</v>
      </c>
      <c r="B600" s="144"/>
      <c r="C600" s="144" t="s">
        <v>630</v>
      </c>
      <c r="D600" s="146" t="s">
        <v>630</v>
      </c>
      <c r="E600" s="145" t="n">
        <v>38</v>
      </c>
      <c r="F600" s="145" t="n">
        <v>96</v>
      </c>
      <c r="G600" s="146" t="s">
        <v>236</v>
      </c>
    </row>
    <row r="601" customFormat="false" ht="15.75" hidden="false" customHeight="true" outlineLevel="0" collapsed="false">
      <c r="A601" s="144" t="s">
        <v>1374</v>
      </c>
      <c r="B601" s="144" t="s">
        <v>1375</v>
      </c>
      <c r="C601" s="144"/>
      <c r="D601" s="146" t="s">
        <v>1375</v>
      </c>
      <c r="E601" s="145" t="n">
        <v>67</v>
      </c>
      <c r="F601" s="145" t="n">
        <v>247</v>
      </c>
      <c r="G601" s="146" t="s">
        <v>236</v>
      </c>
    </row>
    <row r="602" customFormat="false" ht="15.75" hidden="false" customHeight="true" outlineLevel="0" collapsed="false">
      <c r="A602" s="144" t="s">
        <v>1376</v>
      </c>
      <c r="B602" s="144"/>
      <c r="C602" s="144" t="s">
        <v>630</v>
      </c>
      <c r="D602" s="146" t="s">
        <v>630</v>
      </c>
      <c r="E602" s="145" t="n">
        <v>38</v>
      </c>
      <c r="F602" s="145" t="n">
        <v>96</v>
      </c>
      <c r="G602" s="146" t="s">
        <v>236</v>
      </c>
    </row>
    <row r="603" customFormat="false" ht="15.75" hidden="false" customHeight="true" outlineLevel="0" collapsed="false">
      <c r="A603" s="144" t="s">
        <v>1377</v>
      </c>
      <c r="B603" s="144"/>
      <c r="C603" s="144" t="s">
        <v>598</v>
      </c>
      <c r="D603" s="146" t="s">
        <v>598</v>
      </c>
      <c r="E603" s="145" t="n">
        <v>38</v>
      </c>
      <c r="F603" s="145" t="n">
        <v>97</v>
      </c>
      <c r="G603" s="146" t="s">
        <v>236</v>
      </c>
    </row>
    <row r="604" customFormat="false" ht="15.75" hidden="false" customHeight="true" outlineLevel="0" collapsed="false">
      <c r="A604" s="144" t="s">
        <v>1378</v>
      </c>
      <c r="B604" s="144"/>
      <c r="C604" s="144" t="s">
        <v>630</v>
      </c>
      <c r="D604" s="146" t="s">
        <v>630</v>
      </c>
      <c r="E604" s="145" t="n">
        <v>38</v>
      </c>
      <c r="F604" s="145" t="n">
        <v>96</v>
      </c>
      <c r="G604" s="146" t="s">
        <v>236</v>
      </c>
    </row>
    <row r="605" customFormat="false" ht="15.75" hidden="false" customHeight="true" outlineLevel="0" collapsed="false">
      <c r="A605" s="144" t="s">
        <v>1379</v>
      </c>
      <c r="B605" s="144"/>
      <c r="C605" s="144" t="s">
        <v>630</v>
      </c>
      <c r="D605" s="146" t="s">
        <v>630</v>
      </c>
      <c r="E605" s="145" t="n">
        <v>38</v>
      </c>
      <c r="F605" s="145" t="n">
        <v>96</v>
      </c>
      <c r="G605" s="146" t="s">
        <v>236</v>
      </c>
    </row>
    <row r="606" customFormat="false" ht="15.75" hidden="false" customHeight="true" outlineLevel="0" collapsed="false">
      <c r="A606" s="144" t="s">
        <v>1380</v>
      </c>
      <c r="B606" s="144" t="s">
        <v>1381</v>
      </c>
      <c r="C606" s="144"/>
      <c r="D606" s="146" t="s">
        <v>1381</v>
      </c>
      <c r="E606" s="145" t="n">
        <v>6820</v>
      </c>
      <c r="F606" s="145" t="n">
        <v>15900</v>
      </c>
      <c r="G606" s="146" t="s">
        <v>236</v>
      </c>
    </row>
    <row r="607" customFormat="false" ht="15.75" hidden="false" customHeight="true" outlineLevel="0" collapsed="false">
      <c r="A607" s="144" t="s">
        <v>1382</v>
      </c>
      <c r="B607" s="144"/>
      <c r="C607" s="144" t="s">
        <v>630</v>
      </c>
      <c r="D607" s="146" t="s">
        <v>630</v>
      </c>
      <c r="E607" s="145" t="n">
        <v>38</v>
      </c>
      <c r="F607" s="145" t="n">
        <v>96</v>
      </c>
      <c r="G607" s="146" t="s">
        <v>236</v>
      </c>
    </row>
    <row r="608" customFormat="false" ht="15.75" hidden="false" customHeight="true" outlineLevel="0" collapsed="false">
      <c r="A608" s="144" t="s">
        <v>1383</v>
      </c>
      <c r="B608" s="144"/>
      <c r="C608" s="144" t="s">
        <v>630</v>
      </c>
      <c r="D608" s="146" t="s">
        <v>630</v>
      </c>
      <c r="E608" s="145" t="n">
        <v>38</v>
      </c>
      <c r="F608" s="145" t="n">
        <v>96</v>
      </c>
      <c r="G608" s="146" t="s">
        <v>236</v>
      </c>
    </row>
    <row r="609" customFormat="false" ht="15.75" hidden="false" customHeight="true" outlineLevel="0" collapsed="false">
      <c r="A609" s="144" t="s">
        <v>1384</v>
      </c>
      <c r="B609" s="144"/>
      <c r="C609" s="144" t="s">
        <v>630</v>
      </c>
      <c r="D609" s="146" t="s">
        <v>630</v>
      </c>
      <c r="E609" s="145" t="n">
        <v>38</v>
      </c>
      <c r="F609" s="145" t="n">
        <v>96</v>
      </c>
      <c r="G609" s="146" t="s">
        <v>236</v>
      </c>
    </row>
    <row r="610" customFormat="false" ht="15.75" hidden="false" customHeight="true" outlineLevel="0" collapsed="false">
      <c r="A610" s="144" t="s">
        <v>1385</v>
      </c>
      <c r="B610" s="144"/>
      <c r="C610" s="144" t="s">
        <v>630</v>
      </c>
      <c r="D610" s="146" t="s">
        <v>630</v>
      </c>
      <c r="E610" s="145" t="n">
        <v>38</v>
      </c>
      <c r="F610" s="145" t="n">
        <v>96</v>
      </c>
      <c r="G610" s="146" t="s">
        <v>236</v>
      </c>
    </row>
    <row r="611" customFormat="false" ht="15.75" hidden="false" customHeight="true" outlineLevel="0" collapsed="false">
      <c r="A611" s="144" t="s">
        <v>1386</v>
      </c>
      <c r="B611" s="144"/>
      <c r="C611" s="144" t="s">
        <v>630</v>
      </c>
      <c r="D611" s="146" t="s">
        <v>630</v>
      </c>
      <c r="E611" s="145" t="n">
        <v>38</v>
      </c>
      <c r="F611" s="145" t="n">
        <v>96</v>
      </c>
      <c r="G611" s="146" t="s">
        <v>236</v>
      </c>
    </row>
    <row r="612" customFormat="false" ht="15.75" hidden="false" customHeight="true" outlineLevel="0" collapsed="false">
      <c r="A612" s="144" t="s">
        <v>1387</v>
      </c>
      <c r="B612" s="144"/>
      <c r="C612" s="144" t="s">
        <v>714</v>
      </c>
      <c r="D612" s="146" t="s">
        <v>714</v>
      </c>
      <c r="E612" s="145" t="n">
        <v>5950</v>
      </c>
      <c r="F612" s="145" t="n">
        <v>10539</v>
      </c>
      <c r="G612" s="146" t="s">
        <v>236</v>
      </c>
    </row>
    <row r="613" customFormat="false" ht="15.75" hidden="false" customHeight="true" outlineLevel="0" collapsed="false">
      <c r="A613" s="144" t="s">
        <v>1388</v>
      </c>
      <c r="B613" s="144"/>
      <c r="C613" s="144" t="s">
        <v>630</v>
      </c>
      <c r="D613" s="146" t="s">
        <v>630</v>
      </c>
      <c r="E613" s="145" t="n">
        <v>38</v>
      </c>
      <c r="F613" s="145" t="n">
        <v>96</v>
      </c>
      <c r="G613" s="146" t="s">
        <v>236</v>
      </c>
    </row>
    <row r="614" customFormat="false" ht="15.75" hidden="false" customHeight="true" outlineLevel="0" collapsed="false">
      <c r="A614" s="144" t="s">
        <v>1389</v>
      </c>
      <c r="B614" s="144"/>
      <c r="C614" s="144" t="s">
        <v>630</v>
      </c>
      <c r="D614" s="146" t="s">
        <v>630</v>
      </c>
      <c r="E614" s="145" t="n">
        <v>38</v>
      </c>
      <c r="F614" s="145" t="n">
        <v>96</v>
      </c>
      <c r="G614" s="146" t="s">
        <v>236</v>
      </c>
    </row>
    <row r="615" customFormat="false" ht="15.75" hidden="false" customHeight="true" outlineLevel="0" collapsed="false">
      <c r="A615" s="144" t="s">
        <v>1390</v>
      </c>
      <c r="B615" s="144"/>
      <c r="C615" s="144" t="s">
        <v>630</v>
      </c>
      <c r="D615" s="146" t="s">
        <v>630</v>
      </c>
      <c r="E615" s="145" t="n">
        <v>38</v>
      </c>
      <c r="F615" s="145" t="n">
        <v>96</v>
      </c>
      <c r="G615" s="146" t="s">
        <v>236</v>
      </c>
    </row>
    <row r="616" customFormat="false" ht="15.75" hidden="false" customHeight="true" outlineLevel="0" collapsed="false">
      <c r="A616" s="144" t="s">
        <v>1391</v>
      </c>
      <c r="B616" s="144" t="s">
        <v>1392</v>
      </c>
      <c r="C616" s="144"/>
      <c r="D616" s="146" t="s">
        <v>1392</v>
      </c>
      <c r="E616" s="145" t="n">
        <v>775</v>
      </c>
      <c r="F616" s="145" t="n">
        <v>3521</v>
      </c>
      <c r="G616" s="146" t="s">
        <v>236</v>
      </c>
    </row>
    <row r="617" customFormat="false" ht="15.75" hidden="false" customHeight="true" outlineLevel="0" collapsed="false">
      <c r="A617" s="144" t="s">
        <v>1393</v>
      </c>
      <c r="B617" s="144" t="s">
        <v>1394</v>
      </c>
      <c r="C617" s="144"/>
      <c r="D617" s="146" t="s">
        <v>1394</v>
      </c>
      <c r="E617" s="145" t="n">
        <v>3900</v>
      </c>
      <c r="F617" s="145" t="n">
        <v>3900</v>
      </c>
      <c r="G617" s="146" t="s">
        <v>236</v>
      </c>
    </row>
    <row r="618" customFormat="false" ht="15.75" hidden="false" customHeight="true" outlineLevel="0" collapsed="false">
      <c r="A618" s="144" t="s">
        <v>1395</v>
      </c>
      <c r="B618" s="144" t="s">
        <v>1396</v>
      </c>
      <c r="C618" s="144"/>
      <c r="D618" s="146" t="s">
        <v>1396</v>
      </c>
      <c r="E618" s="145" t="n">
        <v>56</v>
      </c>
      <c r="F618" s="145" t="n">
        <v>64</v>
      </c>
      <c r="G618" s="146" t="s">
        <v>236</v>
      </c>
    </row>
    <row r="619" customFormat="false" ht="15.75" hidden="false" customHeight="true" outlineLevel="0" collapsed="false">
      <c r="A619" s="144" t="s">
        <v>1397</v>
      </c>
      <c r="B619" s="144"/>
      <c r="C619" s="144" t="s">
        <v>630</v>
      </c>
      <c r="D619" s="146" t="s">
        <v>630</v>
      </c>
      <c r="E619" s="145" t="n">
        <v>38</v>
      </c>
      <c r="F619" s="145" t="n">
        <v>96</v>
      </c>
      <c r="G619" s="146" t="s">
        <v>236</v>
      </c>
    </row>
    <row r="620" customFormat="false" ht="15.75" hidden="false" customHeight="true" outlineLevel="0" collapsed="false">
      <c r="A620" s="144" t="s">
        <v>1398</v>
      </c>
      <c r="B620" s="144"/>
      <c r="C620" s="144" t="s">
        <v>630</v>
      </c>
      <c r="D620" s="146" t="s">
        <v>630</v>
      </c>
      <c r="E620" s="145" t="n">
        <v>38</v>
      </c>
      <c r="F620" s="145" t="n">
        <v>96</v>
      </c>
      <c r="G620" s="146" t="s">
        <v>236</v>
      </c>
    </row>
    <row r="621" customFormat="false" ht="15.75" hidden="false" customHeight="true" outlineLevel="0" collapsed="false">
      <c r="A621" s="144" t="s">
        <v>1399</v>
      </c>
      <c r="B621" s="144" t="s">
        <v>1400</v>
      </c>
      <c r="C621" s="144"/>
      <c r="D621" s="146" t="s">
        <v>1400</v>
      </c>
      <c r="E621" s="145" t="n">
        <v>333</v>
      </c>
      <c r="F621" s="145" t="n">
        <v>333</v>
      </c>
      <c r="G621" s="146" t="s">
        <v>236</v>
      </c>
    </row>
    <row r="622" customFormat="false" ht="15.75" hidden="false" customHeight="true" outlineLevel="0" collapsed="false">
      <c r="A622" s="144" t="s">
        <v>1401</v>
      </c>
      <c r="B622" s="144"/>
      <c r="C622" s="144" t="s">
        <v>630</v>
      </c>
      <c r="D622" s="146" t="s">
        <v>630</v>
      </c>
      <c r="E622" s="145" t="n">
        <v>38</v>
      </c>
      <c r="F622" s="145" t="n">
        <v>96</v>
      </c>
      <c r="G622" s="146" t="s">
        <v>236</v>
      </c>
    </row>
    <row r="623" customFormat="false" ht="15.75" hidden="false" customHeight="true" outlineLevel="0" collapsed="false">
      <c r="A623" s="144" t="s">
        <v>1402</v>
      </c>
      <c r="B623" s="144"/>
      <c r="C623" s="144" t="s">
        <v>630</v>
      </c>
      <c r="D623" s="146" t="s">
        <v>630</v>
      </c>
      <c r="E623" s="145" t="n">
        <v>38</v>
      </c>
      <c r="F623" s="145" t="n">
        <v>96</v>
      </c>
      <c r="G623" s="146" t="s">
        <v>236</v>
      </c>
    </row>
    <row r="624" customFormat="false" ht="15.75" hidden="false" customHeight="true" outlineLevel="0" collapsed="false">
      <c r="A624" s="144" t="s">
        <v>1403</v>
      </c>
      <c r="B624" s="144" t="s">
        <v>1404</v>
      </c>
      <c r="C624" s="144"/>
      <c r="D624" s="146" t="s">
        <v>1404</v>
      </c>
      <c r="E624" s="145" t="n">
        <v>3475</v>
      </c>
      <c r="F624" s="145" t="n">
        <v>3475</v>
      </c>
      <c r="G624" s="146" t="s">
        <v>236</v>
      </c>
    </row>
    <row r="625" customFormat="false" ht="15.75" hidden="false" customHeight="true" outlineLevel="0" collapsed="false">
      <c r="A625" s="144" t="s">
        <v>1405</v>
      </c>
      <c r="B625" s="144"/>
      <c r="C625" s="144" t="s">
        <v>630</v>
      </c>
      <c r="D625" s="146" t="s">
        <v>630</v>
      </c>
      <c r="E625" s="145" t="n">
        <v>38</v>
      </c>
      <c r="F625" s="145" t="n">
        <v>96</v>
      </c>
      <c r="G625" s="146" t="s">
        <v>236</v>
      </c>
    </row>
    <row r="626" customFormat="false" ht="15.75" hidden="false" customHeight="true" outlineLevel="0" collapsed="false">
      <c r="A626" s="144" t="s">
        <v>1406</v>
      </c>
      <c r="B626" s="144"/>
      <c r="C626" s="144" t="s">
        <v>630</v>
      </c>
      <c r="D626" s="146" t="s">
        <v>630</v>
      </c>
      <c r="E626" s="145" t="n">
        <v>38</v>
      </c>
      <c r="F626" s="145" t="n">
        <v>96</v>
      </c>
      <c r="G626" s="146" t="s">
        <v>236</v>
      </c>
    </row>
    <row r="627" customFormat="false" ht="15.75" hidden="false" customHeight="true" outlineLevel="0" collapsed="false">
      <c r="A627" s="144" t="s">
        <v>1407</v>
      </c>
      <c r="B627" s="144"/>
      <c r="C627" s="144" t="s">
        <v>630</v>
      </c>
      <c r="D627" s="146" t="s">
        <v>630</v>
      </c>
      <c r="E627" s="145" t="n">
        <v>38</v>
      </c>
      <c r="F627" s="145" t="n">
        <v>96</v>
      </c>
      <c r="G627" s="146" t="s">
        <v>236</v>
      </c>
    </row>
    <row r="628" customFormat="false" ht="15.75" hidden="false" customHeight="true" outlineLevel="0" collapsed="false">
      <c r="A628" s="144" t="s">
        <v>1408</v>
      </c>
      <c r="B628" s="144"/>
      <c r="C628" s="144" t="s">
        <v>630</v>
      </c>
      <c r="D628" s="146" t="s">
        <v>630</v>
      </c>
      <c r="E628" s="145" t="n">
        <v>38</v>
      </c>
      <c r="F628" s="145" t="n">
        <v>96</v>
      </c>
      <c r="G628" s="146" t="s">
        <v>236</v>
      </c>
    </row>
    <row r="629" customFormat="false" ht="15.75" hidden="false" customHeight="true" outlineLevel="0" collapsed="false">
      <c r="A629" s="144" t="s">
        <v>1409</v>
      </c>
      <c r="B629" s="144"/>
      <c r="C629" s="144" t="s">
        <v>630</v>
      </c>
      <c r="D629" s="146" t="s">
        <v>630</v>
      </c>
      <c r="E629" s="145" t="n">
        <v>38</v>
      </c>
      <c r="F629" s="145" t="n">
        <v>96</v>
      </c>
      <c r="G629" s="146" t="s">
        <v>236</v>
      </c>
    </row>
    <row r="630" customFormat="false" ht="15.75" hidden="false" customHeight="true" outlineLevel="0" collapsed="false">
      <c r="A630" s="144" t="s">
        <v>1410</v>
      </c>
      <c r="B630" s="144"/>
      <c r="C630" s="144" t="s">
        <v>630</v>
      </c>
      <c r="D630" s="146" t="s">
        <v>630</v>
      </c>
      <c r="E630" s="145" t="n">
        <v>38</v>
      </c>
      <c r="F630" s="145" t="n">
        <v>96</v>
      </c>
      <c r="G630" s="146" t="s">
        <v>236</v>
      </c>
    </row>
    <row r="631" customFormat="false" ht="15.75" hidden="false" customHeight="true" outlineLevel="0" collapsed="false">
      <c r="A631" s="144" t="s">
        <v>1411</v>
      </c>
      <c r="B631" s="144"/>
      <c r="C631" s="144" t="s">
        <v>630</v>
      </c>
      <c r="D631" s="146" t="s">
        <v>630</v>
      </c>
      <c r="E631" s="145" t="n">
        <v>38</v>
      </c>
      <c r="F631" s="145" t="n">
        <v>96</v>
      </c>
      <c r="G631" s="146" t="s">
        <v>236</v>
      </c>
    </row>
    <row r="632" customFormat="false" ht="15.75" hidden="false" customHeight="true" outlineLevel="0" collapsed="false">
      <c r="A632" s="144" t="s">
        <v>1412</v>
      </c>
      <c r="B632" s="144"/>
      <c r="C632" s="144" t="s">
        <v>714</v>
      </c>
      <c r="D632" s="146" t="s">
        <v>714</v>
      </c>
      <c r="E632" s="145" t="n">
        <v>5950</v>
      </c>
      <c r="F632" s="145" t="n">
        <v>10539</v>
      </c>
      <c r="G632" s="146" t="s">
        <v>236</v>
      </c>
    </row>
    <row r="633" customFormat="false" ht="15.75" hidden="false" customHeight="true" outlineLevel="0" collapsed="false">
      <c r="A633" s="144" t="s">
        <v>1413</v>
      </c>
      <c r="B633" s="144"/>
      <c r="C633" s="144" t="s">
        <v>630</v>
      </c>
      <c r="D633" s="146" t="s">
        <v>630</v>
      </c>
      <c r="E633" s="145" t="n">
        <v>38</v>
      </c>
      <c r="F633" s="145" t="n">
        <v>96</v>
      </c>
      <c r="G633" s="146" t="s">
        <v>236</v>
      </c>
    </row>
    <row r="634" customFormat="false" ht="15.75" hidden="false" customHeight="true" outlineLevel="0" collapsed="false">
      <c r="A634" s="144" t="s">
        <v>1414</v>
      </c>
      <c r="B634" s="144" t="s">
        <v>1415</v>
      </c>
      <c r="C634" s="144"/>
      <c r="D634" s="146" t="s">
        <v>1415</v>
      </c>
      <c r="E634" s="145" t="n">
        <v>66</v>
      </c>
      <c r="F634" s="145" t="n">
        <v>324</v>
      </c>
      <c r="G634" s="146" t="s">
        <v>236</v>
      </c>
    </row>
    <row r="635" customFormat="false" ht="15.75" hidden="false" customHeight="true" outlineLevel="0" collapsed="false">
      <c r="A635" s="144" t="s">
        <v>1416</v>
      </c>
      <c r="B635" s="144"/>
      <c r="C635" s="144" t="s">
        <v>1417</v>
      </c>
      <c r="D635" s="146" t="s">
        <v>1417</v>
      </c>
      <c r="E635" s="145" t="n">
        <v>1155</v>
      </c>
      <c r="F635" s="145" t="n">
        <v>1575</v>
      </c>
      <c r="G635" s="146" t="s">
        <v>236</v>
      </c>
    </row>
    <row r="636" customFormat="false" ht="15.75" hidden="false" customHeight="true" outlineLevel="0" collapsed="false">
      <c r="A636" s="144" t="s">
        <v>1418</v>
      </c>
      <c r="B636" s="144" t="s">
        <v>1419</v>
      </c>
      <c r="C636" s="144"/>
      <c r="D636" s="146" t="s">
        <v>1419</v>
      </c>
      <c r="E636" s="145" t="n">
        <v>6080</v>
      </c>
      <c r="F636" s="145" t="n">
        <v>6080</v>
      </c>
      <c r="G636" s="146" t="s">
        <v>236</v>
      </c>
    </row>
    <row r="637" customFormat="false" ht="15.75" hidden="false" customHeight="true" outlineLevel="0" collapsed="false">
      <c r="A637" s="144" t="s">
        <v>1420</v>
      </c>
      <c r="B637" s="144" t="s">
        <v>1421</v>
      </c>
      <c r="C637" s="144"/>
      <c r="D637" s="146" t="s">
        <v>1421</v>
      </c>
      <c r="E637" s="145" t="n">
        <v>660</v>
      </c>
      <c r="F637" s="145" t="n">
        <v>26000</v>
      </c>
      <c r="G637" s="146" t="s">
        <v>236</v>
      </c>
    </row>
    <row r="638" customFormat="false" ht="15.75" hidden="false" customHeight="true" outlineLevel="0" collapsed="false">
      <c r="A638" s="144" t="s">
        <v>1422</v>
      </c>
      <c r="B638" s="144"/>
      <c r="C638" s="144" t="s">
        <v>630</v>
      </c>
      <c r="D638" s="146" t="s">
        <v>630</v>
      </c>
      <c r="E638" s="145" t="n">
        <v>38</v>
      </c>
      <c r="F638" s="145" t="n">
        <v>96</v>
      </c>
      <c r="G638" s="146" t="s">
        <v>236</v>
      </c>
    </row>
    <row r="639" customFormat="false" ht="15.75" hidden="false" customHeight="true" outlineLevel="0" collapsed="false">
      <c r="A639" s="144" t="s">
        <v>1423</v>
      </c>
      <c r="B639" s="144" t="s">
        <v>1424</v>
      </c>
      <c r="C639" s="144"/>
      <c r="D639" s="146" t="s">
        <v>1424</v>
      </c>
      <c r="E639" s="145" t="n">
        <v>2720</v>
      </c>
      <c r="F639" s="145" t="n">
        <v>2720</v>
      </c>
      <c r="G639" s="146" t="s">
        <v>236</v>
      </c>
    </row>
    <row r="640" customFormat="false" ht="15.75" hidden="false" customHeight="true" outlineLevel="0" collapsed="false">
      <c r="A640" s="144" t="s">
        <v>1425</v>
      </c>
      <c r="B640" s="144"/>
      <c r="C640" s="144" t="s">
        <v>630</v>
      </c>
      <c r="D640" s="146" t="s">
        <v>630</v>
      </c>
      <c r="E640" s="145" t="n">
        <v>38</v>
      </c>
      <c r="F640" s="145" t="n">
        <v>96</v>
      </c>
      <c r="G640" s="146" t="s">
        <v>236</v>
      </c>
    </row>
    <row r="641" customFormat="false" ht="15.75" hidden="false" customHeight="true" outlineLevel="0" collapsed="false">
      <c r="A641" s="144" t="s">
        <v>1426</v>
      </c>
      <c r="B641" s="144"/>
      <c r="C641" s="144" t="s">
        <v>714</v>
      </c>
      <c r="D641" s="146" t="s">
        <v>714</v>
      </c>
      <c r="E641" s="145" t="n">
        <v>5950</v>
      </c>
      <c r="F641" s="145" t="n">
        <v>10539</v>
      </c>
      <c r="G641" s="146" t="s">
        <v>236</v>
      </c>
    </row>
    <row r="642" customFormat="false" ht="15.75" hidden="false" customHeight="true" outlineLevel="0" collapsed="false">
      <c r="A642" s="144" t="s">
        <v>1427</v>
      </c>
      <c r="B642" s="144"/>
      <c r="C642" s="144" t="s">
        <v>630</v>
      </c>
      <c r="D642" s="146" t="s">
        <v>630</v>
      </c>
      <c r="E642" s="145" t="n">
        <v>38</v>
      </c>
      <c r="F642" s="145" t="n">
        <v>96</v>
      </c>
      <c r="G642" s="146" t="s">
        <v>236</v>
      </c>
    </row>
    <row r="643" customFormat="false" ht="15.75" hidden="false" customHeight="true" outlineLevel="0" collapsed="false">
      <c r="A643" s="144" t="s">
        <v>1428</v>
      </c>
      <c r="B643" s="233" t="s">
        <v>696</v>
      </c>
      <c r="C643" s="144"/>
      <c r="D643" s="146" t="s">
        <v>696</v>
      </c>
      <c r="E643" s="145" t="n">
        <v>10</v>
      </c>
      <c r="F643" s="145" t="n">
        <v>10</v>
      </c>
      <c r="G643" s="146" t="s">
        <v>236</v>
      </c>
    </row>
    <row r="644" customFormat="false" ht="15.75" hidden="false" customHeight="true" outlineLevel="0" collapsed="false">
      <c r="A644" s="144" t="s">
        <v>1429</v>
      </c>
      <c r="B644" s="144"/>
      <c r="C644" s="144" t="s">
        <v>630</v>
      </c>
      <c r="D644" s="146" t="s">
        <v>630</v>
      </c>
      <c r="E644" s="145" t="n">
        <v>38</v>
      </c>
      <c r="F644" s="145" t="n">
        <v>96</v>
      </c>
      <c r="G644" s="146" t="s">
        <v>236</v>
      </c>
    </row>
    <row r="645" customFormat="false" ht="15.75" hidden="false" customHeight="true" outlineLevel="0" collapsed="false">
      <c r="A645" s="144" t="s">
        <v>1430</v>
      </c>
      <c r="B645" s="144"/>
      <c r="C645" s="144" t="s">
        <v>630</v>
      </c>
      <c r="D645" s="146" t="s">
        <v>630</v>
      </c>
      <c r="E645" s="145" t="n">
        <v>38</v>
      </c>
      <c r="F645" s="145" t="n">
        <v>96</v>
      </c>
      <c r="G645" s="146" t="s">
        <v>236</v>
      </c>
    </row>
    <row r="646" customFormat="false" ht="15.75" hidden="false" customHeight="true" outlineLevel="0" collapsed="false">
      <c r="A646" s="144" t="s">
        <v>527</v>
      </c>
      <c r="B646" s="144" t="s">
        <v>935</v>
      </c>
      <c r="C646" s="144"/>
      <c r="D646" s="146" t="s">
        <v>935</v>
      </c>
      <c r="E646" s="145" t="n">
        <v>4500</v>
      </c>
      <c r="F646" s="145" t="n">
        <v>4500</v>
      </c>
      <c r="G646" s="146" t="s">
        <v>236</v>
      </c>
    </row>
    <row r="647" customFormat="false" ht="15.75" hidden="false" customHeight="true" outlineLevel="0" collapsed="false">
      <c r="A647" s="144" t="s">
        <v>1431</v>
      </c>
      <c r="B647" s="144"/>
      <c r="C647" s="144" t="s">
        <v>630</v>
      </c>
      <c r="D647" s="146" t="s">
        <v>630</v>
      </c>
      <c r="E647" s="145" t="n">
        <v>38</v>
      </c>
      <c r="F647" s="145" t="n">
        <v>96</v>
      </c>
      <c r="G647" s="146" t="s">
        <v>236</v>
      </c>
    </row>
    <row r="648" customFormat="false" ht="15.75" hidden="false" customHeight="true" outlineLevel="0" collapsed="false">
      <c r="A648" s="144" t="s">
        <v>1432</v>
      </c>
      <c r="B648" s="144"/>
      <c r="C648" s="144" t="s">
        <v>630</v>
      </c>
      <c r="D648" s="146" t="s">
        <v>630</v>
      </c>
      <c r="E648" s="145" t="n">
        <v>38</v>
      </c>
      <c r="F648" s="145" t="n">
        <v>96</v>
      </c>
      <c r="G648" s="146" t="s">
        <v>236</v>
      </c>
    </row>
    <row r="649" customFormat="false" ht="15.75" hidden="false" customHeight="true" outlineLevel="0" collapsed="false">
      <c r="A649" s="144" t="s">
        <v>1433</v>
      </c>
      <c r="B649" s="144"/>
      <c r="C649" s="144" t="s">
        <v>630</v>
      </c>
      <c r="D649" s="146" t="s">
        <v>630</v>
      </c>
      <c r="E649" s="145" t="n">
        <v>38</v>
      </c>
      <c r="F649" s="145" t="n">
        <v>96</v>
      </c>
      <c r="G649" s="146" t="s">
        <v>236</v>
      </c>
    </row>
    <row r="650" customFormat="false" ht="15.75" hidden="false" customHeight="true" outlineLevel="0" collapsed="false">
      <c r="A650" s="144" t="s">
        <v>1434</v>
      </c>
      <c r="B650" s="144" t="s">
        <v>768</v>
      </c>
      <c r="C650" s="144"/>
      <c r="D650" s="146" t="s">
        <v>768</v>
      </c>
      <c r="E650" s="145" t="n">
        <v>909</v>
      </c>
      <c r="F650" s="145" t="n">
        <v>1364</v>
      </c>
      <c r="G650" s="146" t="s">
        <v>236</v>
      </c>
    </row>
    <row r="651" customFormat="false" ht="15.75" hidden="false" customHeight="true" outlineLevel="0" collapsed="false">
      <c r="A651" s="144" t="s">
        <v>1435</v>
      </c>
      <c r="B651" s="144" t="s">
        <v>1436</v>
      </c>
      <c r="C651" s="144"/>
      <c r="D651" s="146" t="s">
        <v>1436</v>
      </c>
      <c r="E651" s="145" t="n">
        <v>9072</v>
      </c>
      <c r="F651" s="145" t="n">
        <v>13608</v>
      </c>
      <c r="G651" s="146" t="s">
        <v>236</v>
      </c>
    </row>
    <row r="652" customFormat="false" ht="15.75" hidden="false" customHeight="true" outlineLevel="0" collapsed="false">
      <c r="A652" s="144" t="s">
        <v>537</v>
      </c>
      <c r="B652" s="144" t="s">
        <v>1437</v>
      </c>
      <c r="C652" s="144"/>
      <c r="D652" s="146" t="s">
        <v>1437</v>
      </c>
      <c r="E652" s="145" t="n">
        <v>500</v>
      </c>
      <c r="F652" s="145" t="n">
        <v>5000</v>
      </c>
      <c r="G652" s="146" t="s">
        <v>236</v>
      </c>
    </row>
    <row r="653" customFormat="false" ht="15.75" hidden="false" customHeight="true" outlineLevel="0" collapsed="false">
      <c r="A653" s="144" t="s">
        <v>1438</v>
      </c>
      <c r="B653" s="144"/>
      <c r="C653" s="144" t="s">
        <v>630</v>
      </c>
      <c r="D653" s="146" t="s">
        <v>630</v>
      </c>
      <c r="E653" s="145" t="n">
        <v>38</v>
      </c>
      <c r="F653" s="145" t="n">
        <v>96</v>
      </c>
      <c r="G653" s="146" t="s">
        <v>236</v>
      </c>
    </row>
    <row r="654" customFormat="false" ht="15.75" hidden="false" customHeight="true" outlineLevel="0" collapsed="false">
      <c r="A654" s="144" t="s">
        <v>1439</v>
      </c>
      <c r="B654" s="144" t="s">
        <v>1261</v>
      </c>
      <c r="C654" s="144"/>
      <c r="D654" s="146" t="s">
        <v>1261</v>
      </c>
      <c r="E654" s="145" t="n">
        <v>3000</v>
      </c>
      <c r="F654" s="145" t="n">
        <v>3000</v>
      </c>
      <c r="G654" s="146" t="s">
        <v>236</v>
      </c>
    </row>
    <row r="655" customFormat="false" ht="15.75" hidden="false" customHeight="true" outlineLevel="0" collapsed="false">
      <c r="A655" s="144" t="s">
        <v>1440</v>
      </c>
      <c r="B655" s="144"/>
      <c r="C655" s="144" t="s">
        <v>630</v>
      </c>
      <c r="D655" s="146" t="s">
        <v>630</v>
      </c>
      <c r="E655" s="145" t="n">
        <v>38</v>
      </c>
      <c r="F655" s="145" t="n">
        <v>96</v>
      </c>
      <c r="G655" s="146" t="s">
        <v>236</v>
      </c>
    </row>
    <row r="656" customFormat="false" ht="15.75" hidden="false" customHeight="true" outlineLevel="0" collapsed="false">
      <c r="A656" s="144" t="s">
        <v>1441</v>
      </c>
      <c r="B656" s="144"/>
      <c r="C656" s="144" t="s">
        <v>630</v>
      </c>
      <c r="D656" s="146" t="s">
        <v>630</v>
      </c>
      <c r="E656" s="145" t="n">
        <v>38</v>
      </c>
      <c r="F656" s="145" t="n">
        <v>96</v>
      </c>
      <c r="G656" s="146" t="s">
        <v>236</v>
      </c>
    </row>
    <row r="657" customFormat="false" ht="15.75" hidden="false" customHeight="true" outlineLevel="0" collapsed="false">
      <c r="A657" s="144" t="s">
        <v>1442</v>
      </c>
      <c r="B657" s="144"/>
      <c r="C657" s="144" t="s">
        <v>630</v>
      </c>
      <c r="D657" s="146" t="s">
        <v>630</v>
      </c>
      <c r="E657" s="145" t="n">
        <v>38</v>
      </c>
      <c r="F657" s="145" t="n">
        <v>96</v>
      </c>
      <c r="G657" s="146" t="s">
        <v>236</v>
      </c>
    </row>
    <row r="658" customFormat="false" ht="15.75" hidden="false" customHeight="true" outlineLevel="0" collapsed="false">
      <c r="A658" s="144" t="s">
        <v>1443</v>
      </c>
      <c r="B658" s="144"/>
      <c r="C658" s="144" t="s">
        <v>630</v>
      </c>
      <c r="D658" s="146" t="s">
        <v>630</v>
      </c>
      <c r="E658" s="145" t="n">
        <v>38</v>
      </c>
      <c r="F658" s="145" t="n">
        <v>96</v>
      </c>
      <c r="G658" s="146" t="s">
        <v>236</v>
      </c>
    </row>
    <row r="659" customFormat="false" ht="15.75" hidden="false" customHeight="true" outlineLevel="0" collapsed="false">
      <c r="A659" s="144" t="s">
        <v>212</v>
      </c>
      <c r="B659" s="144"/>
      <c r="C659" s="144" t="s">
        <v>630</v>
      </c>
      <c r="D659" s="146" t="s">
        <v>630</v>
      </c>
      <c r="E659" s="145" t="n">
        <v>38</v>
      </c>
      <c r="F659" s="145" t="n">
        <v>96</v>
      </c>
      <c r="G659" s="146" t="s">
        <v>236</v>
      </c>
    </row>
    <row r="660" customFormat="false" ht="15.75" hidden="false" customHeight="true" outlineLevel="0" collapsed="false">
      <c r="A660" s="144" t="s">
        <v>1444</v>
      </c>
      <c r="B660" s="144"/>
      <c r="C660" s="144" t="s">
        <v>630</v>
      </c>
      <c r="D660" s="146" t="s">
        <v>630</v>
      </c>
      <c r="E660" s="145" t="n">
        <v>38</v>
      </c>
      <c r="F660" s="145" t="n">
        <v>96</v>
      </c>
      <c r="G660" s="146" t="s">
        <v>236</v>
      </c>
    </row>
    <row r="661" customFormat="false" ht="15.75" hidden="false" customHeight="true" outlineLevel="0" collapsed="false">
      <c r="A661" s="144" t="s">
        <v>1445</v>
      </c>
      <c r="B661" s="144"/>
      <c r="C661" s="144" t="s">
        <v>630</v>
      </c>
      <c r="D661" s="146" t="s">
        <v>630</v>
      </c>
      <c r="E661" s="145" t="n">
        <v>38</v>
      </c>
      <c r="F661" s="145" t="n">
        <v>96</v>
      </c>
      <c r="G661" s="146" t="s">
        <v>236</v>
      </c>
    </row>
    <row r="662" customFormat="false" ht="15.75" hidden="false" customHeight="true" outlineLevel="0" collapsed="false">
      <c r="A662" s="144" t="s">
        <v>1446</v>
      </c>
      <c r="B662" s="144"/>
      <c r="C662" s="144" t="s">
        <v>630</v>
      </c>
      <c r="D662" s="146" t="s">
        <v>630</v>
      </c>
      <c r="E662" s="145" t="n">
        <v>38</v>
      </c>
      <c r="F662" s="145" t="n">
        <v>96</v>
      </c>
      <c r="G662" s="146" t="s">
        <v>236</v>
      </c>
    </row>
    <row r="663" customFormat="false" ht="15.75" hidden="false" customHeight="true" outlineLevel="0" collapsed="false">
      <c r="A663" s="144" t="s">
        <v>1447</v>
      </c>
      <c r="B663" s="144" t="s">
        <v>1448</v>
      </c>
      <c r="C663" s="144"/>
      <c r="D663" s="146" t="s">
        <v>1448</v>
      </c>
      <c r="E663" s="145" t="n">
        <v>2200</v>
      </c>
      <c r="F663" s="145" t="n">
        <v>3000</v>
      </c>
      <c r="G663" s="146" t="s">
        <v>236</v>
      </c>
    </row>
    <row r="664" customFormat="false" ht="15.75" hidden="false" customHeight="true" outlineLevel="0" collapsed="false">
      <c r="A664" s="144" t="s">
        <v>1449</v>
      </c>
      <c r="B664" s="144"/>
      <c r="C664" s="144" t="s">
        <v>630</v>
      </c>
      <c r="D664" s="146" t="s">
        <v>630</v>
      </c>
      <c r="E664" s="145" t="n">
        <v>38</v>
      </c>
      <c r="F664" s="145" t="n">
        <v>96</v>
      </c>
      <c r="G664" s="146" t="s">
        <v>236</v>
      </c>
    </row>
    <row r="665" customFormat="false" ht="15.75" hidden="false" customHeight="true" outlineLevel="0" collapsed="false">
      <c r="A665" s="144" t="s">
        <v>1450</v>
      </c>
      <c r="B665" s="144" t="s">
        <v>1451</v>
      </c>
      <c r="C665" s="144"/>
      <c r="D665" s="146" t="s">
        <v>1451</v>
      </c>
      <c r="E665" s="145" t="n">
        <v>538</v>
      </c>
      <c r="F665" s="145" t="n">
        <v>574</v>
      </c>
      <c r="G665" s="146" t="s">
        <v>236</v>
      </c>
    </row>
    <row r="666" customFormat="false" ht="15.75" hidden="false" customHeight="true" outlineLevel="0" collapsed="false">
      <c r="A666" s="144" t="s">
        <v>1452</v>
      </c>
      <c r="B666" s="144"/>
      <c r="C666" s="144" t="s">
        <v>630</v>
      </c>
      <c r="D666" s="146" t="s">
        <v>630</v>
      </c>
      <c r="E666" s="145" t="n">
        <v>38</v>
      </c>
      <c r="F666" s="145" t="n">
        <v>96</v>
      </c>
      <c r="G666" s="146" t="s">
        <v>236</v>
      </c>
    </row>
    <row r="667" customFormat="false" ht="15.75" hidden="false" customHeight="true" outlineLevel="0" collapsed="false">
      <c r="A667" s="144" t="s">
        <v>1453</v>
      </c>
      <c r="B667" s="144" t="s">
        <v>1454</v>
      </c>
      <c r="C667" s="144"/>
      <c r="D667" s="146" t="s">
        <v>1454</v>
      </c>
      <c r="E667" s="145" t="n">
        <v>98</v>
      </c>
      <c r="F667" s="145" t="n">
        <v>114</v>
      </c>
      <c r="G667" s="146" t="s">
        <v>236</v>
      </c>
    </row>
    <row r="668" customFormat="false" ht="15.75" hidden="false" customHeight="true" outlineLevel="0" collapsed="false">
      <c r="A668" s="144" t="s">
        <v>1455</v>
      </c>
      <c r="B668" s="144" t="s">
        <v>1456</v>
      </c>
      <c r="C668" s="144"/>
      <c r="D668" s="146" t="s">
        <v>1456</v>
      </c>
      <c r="E668" s="145" t="n">
        <v>2400</v>
      </c>
      <c r="F668" s="145" t="n">
        <v>2400</v>
      </c>
      <c r="G668" s="146" t="s">
        <v>236</v>
      </c>
    </row>
    <row r="669" customFormat="false" ht="15.75" hidden="false" customHeight="true" outlineLevel="0" collapsed="false">
      <c r="A669" s="144" t="s">
        <v>1457</v>
      </c>
      <c r="B669" s="144" t="s">
        <v>1458</v>
      </c>
      <c r="C669" s="144"/>
      <c r="D669" s="146" t="s">
        <v>1458</v>
      </c>
      <c r="E669" s="145" t="n">
        <v>3182</v>
      </c>
      <c r="F669" s="145" t="n">
        <v>7000</v>
      </c>
      <c r="G669" s="146" t="s">
        <v>236</v>
      </c>
    </row>
    <row r="670" customFormat="false" ht="15.75" hidden="false" customHeight="true" outlineLevel="0" collapsed="false">
      <c r="A670" s="144" t="s">
        <v>590</v>
      </c>
      <c r="B670" s="144" t="s">
        <v>1459</v>
      </c>
      <c r="C670" s="144"/>
      <c r="D670" s="146" t="s">
        <v>1459</v>
      </c>
      <c r="E670" s="145" t="n">
        <v>95</v>
      </c>
      <c r="F670" s="145" t="n">
        <v>95</v>
      </c>
      <c r="G670" s="146" t="s">
        <v>236</v>
      </c>
    </row>
    <row r="671" customFormat="false" ht="15.75" hidden="false" customHeight="true" outlineLevel="0" collapsed="false">
      <c r="A671" s="144" t="s">
        <v>1460</v>
      </c>
      <c r="B671" s="144" t="s">
        <v>544</v>
      </c>
      <c r="C671" s="144"/>
      <c r="D671" s="146" t="s">
        <v>544</v>
      </c>
      <c r="E671" s="145" t="n">
        <v>50</v>
      </c>
      <c r="F671" s="145" t="n">
        <v>200</v>
      </c>
      <c r="G671" s="146" t="s">
        <v>236</v>
      </c>
    </row>
    <row r="672" customFormat="false" ht="15.75" hidden="false" customHeight="true" outlineLevel="0" collapsed="false">
      <c r="A672" s="144" t="s">
        <v>521</v>
      </c>
      <c r="B672" s="144" t="s">
        <v>1461</v>
      </c>
      <c r="C672" s="144"/>
      <c r="D672" s="146" t="s">
        <v>1461</v>
      </c>
      <c r="E672" s="145" t="n">
        <v>3306</v>
      </c>
      <c r="F672" s="145" t="n">
        <v>3306</v>
      </c>
      <c r="G672" s="146" t="s">
        <v>236</v>
      </c>
    </row>
    <row r="673" customFormat="false" ht="15.75" hidden="false" customHeight="true" outlineLevel="0" collapsed="false">
      <c r="A673" s="144" t="s">
        <v>1462</v>
      </c>
      <c r="B673" s="144" t="s">
        <v>761</v>
      </c>
      <c r="C673" s="144"/>
      <c r="D673" s="146" t="s">
        <v>761</v>
      </c>
      <c r="E673" s="145" t="n">
        <v>1500</v>
      </c>
      <c r="F673" s="145" t="n">
        <v>1500</v>
      </c>
      <c r="G673" s="146" t="s">
        <v>236</v>
      </c>
    </row>
    <row r="674" customFormat="false" ht="15.75" hidden="false" customHeight="true" outlineLevel="0" collapsed="false">
      <c r="A674" s="144" t="s">
        <v>1463</v>
      </c>
      <c r="B674" s="144" t="s">
        <v>1464</v>
      </c>
      <c r="C674" s="144"/>
      <c r="D674" s="146" t="s">
        <v>1464</v>
      </c>
      <c r="E674" s="145" t="n">
        <v>251</v>
      </c>
      <c r="F674" s="145" t="n">
        <v>251</v>
      </c>
      <c r="G674" s="146" t="s">
        <v>236</v>
      </c>
    </row>
    <row r="675" customFormat="false" ht="15.75" hidden="false" customHeight="true" outlineLevel="0" collapsed="false">
      <c r="A675" s="144" t="s">
        <v>1465</v>
      </c>
      <c r="B675" s="144"/>
      <c r="C675" s="144" t="s">
        <v>630</v>
      </c>
      <c r="D675" s="146" t="s">
        <v>630</v>
      </c>
      <c r="E675" s="145" t="n">
        <v>38</v>
      </c>
      <c r="F675" s="145" t="n">
        <v>96</v>
      </c>
      <c r="G675" s="146" t="s">
        <v>236</v>
      </c>
    </row>
    <row r="676" customFormat="false" ht="15.75" hidden="false" customHeight="true" outlineLevel="0" collapsed="false">
      <c r="A676" s="144" t="s">
        <v>1466</v>
      </c>
      <c r="B676" s="144" t="s">
        <v>1467</v>
      </c>
      <c r="C676" s="144"/>
      <c r="D676" s="146" t="s">
        <v>1467</v>
      </c>
      <c r="E676" s="145" t="n">
        <v>550</v>
      </c>
      <c r="F676" s="145" t="n">
        <v>550</v>
      </c>
      <c r="G676" s="146" t="s">
        <v>236</v>
      </c>
    </row>
    <row r="677" customFormat="false" ht="15.75" hidden="false" customHeight="true" outlineLevel="0" collapsed="false">
      <c r="A677" s="144" t="s">
        <v>1468</v>
      </c>
      <c r="B677" s="144"/>
      <c r="C677" s="144" t="s">
        <v>630</v>
      </c>
      <c r="D677" s="146" t="s">
        <v>630</v>
      </c>
      <c r="E677" s="145" t="n">
        <v>38</v>
      </c>
      <c r="F677" s="145" t="n">
        <v>96</v>
      </c>
      <c r="G677" s="146" t="s">
        <v>236</v>
      </c>
    </row>
    <row r="678" customFormat="false" ht="15.75" hidden="false" customHeight="true" outlineLevel="0" collapsed="false">
      <c r="A678" s="144" t="s">
        <v>1469</v>
      </c>
      <c r="B678" s="144"/>
      <c r="C678" s="144" t="s">
        <v>630</v>
      </c>
      <c r="D678" s="146" t="s">
        <v>630</v>
      </c>
      <c r="E678" s="145" t="n">
        <v>38</v>
      </c>
      <c r="F678" s="145" t="n">
        <v>96</v>
      </c>
      <c r="G678" s="146" t="s">
        <v>236</v>
      </c>
    </row>
    <row r="679" customFormat="false" ht="15.75" hidden="false" customHeight="true" outlineLevel="0" collapsed="false">
      <c r="A679" s="144" t="s">
        <v>1470</v>
      </c>
      <c r="B679" s="144" t="s">
        <v>1471</v>
      </c>
      <c r="C679" s="144"/>
      <c r="D679" s="146" t="s">
        <v>1471</v>
      </c>
      <c r="E679" s="145" t="n">
        <v>13</v>
      </c>
      <c r="F679" s="145" t="n">
        <v>447</v>
      </c>
      <c r="G679" s="146" t="s">
        <v>236</v>
      </c>
    </row>
    <row r="680" customFormat="false" ht="15.75" hidden="false" customHeight="true" outlineLevel="0" collapsed="false">
      <c r="A680" s="144" t="s">
        <v>1472</v>
      </c>
      <c r="B680" s="144"/>
      <c r="C680" s="144" t="s">
        <v>630</v>
      </c>
      <c r="D680" s="146" t="s">
        <v>630</v>
      </c>
      <c r="E680" s="145" t="n">
        <v>38</v>
      </c>
      <c r="F680" s="145" t="n">
        <v>96</v>
      </c>
      <c r="G680" s="146" t="s">
        <v>236</v>
      </c>
    </row>
    <row r="681" customFormat="false" ht="15.75" hidden="false" customHeight="true" outlineLevel="0" collapsed="false">
      <c r="A681" s="144" t="s">
        <v>1473</v>
      </c>
      <c r="B681" s="144" t="s">
        <v>1474</v>
      </c>
      <c r="C681" s="144"/>
      <c r="D681" s="146" t="s">
        <v>1474</v>
      </c>
      <c r="E681" s="145" t="n">
        <v>1040</v>
      </c>
      <c r="F681" s="145" t="n">
        <v>3000</v>
      </c>
      <c r="G681" s="146" t="s">
        <v>236</v>
      </c>
    </row>
    <row r="682" customFormat="false" ht="15.75" hidden="false" customHeight="true" outlineLevel="0" collapsed="false">
      <c r="A682" s="144" t="s">
        <v>1475</v>
      </c>
      <c r="B682" s="144" t="s">
        <v>1476</v>
      </c>
      <c r="C682" s="144"/>
      <c r="D682" s="146" t="s">
        <v>1476</v>
      </c>
      <c r="E682" s="145" t="n">
        <v>3146</v>
      </c>
      <c r="F682" s="145" t="n">
        <v>4290</v>
      </c>
      <c r="G682" s="146" t="s">
        <v>236</v>
      </c>
    </row>
    <row r="683" customFormat="false" ht="15.75" hidden="false" customHeight="true" outlineLevel="0" collapsed="false">
      <c r="A683" s="144" t="s">
        <v>1477</v>
      </c>
      <c r="B683" s="144"/>
      <c r="C683" s="144" t="s">
        <v>714</v>
      </c>
      <c r="D683" s="146" t="s">
        <v>714</v>
      </c>
      <c r="E683" s="145" t="n">
        <v>5950</v>
      </c>
      <c r="F683" s="145" t="n">
        <v>10539</v>
      </c>
      <c r="G683" s="146" t="s">
        <v>236</v>
      </c>
    </row>
    <row r="684" customFormat="false" ht="15.75" hidden="false" customHeight="true" outlineLevel="0" collapsed="false">
      <c r="A684" s="144" t="s">
        <v>1478</v>
      </c>
      <c r="B684" s="144"/>
      <c r="C684" s="144" t="s">
        <v>1417</v>
      </c>
      <c r="D684" s="146" t="s">
        <v>1417</v>
      </c>
      <c r="E684" s="145" t="n">
        <v>1155</v>
      </c>
      <c r="F684" s="145" t="n">
        <v>1575</v>
      </c>
      <c r="G684" s="146" t="s">
        <v>236</v>
      </c>
    </row>
    <row r="685" customFormat="false" ht="15.75" hidden="false" customHeight="true" outlineLevel="0" collapsed="false">
      <c r="A685" s="144" t="s">
        <v>1479</v>
      </c>
      <c r="B685" s="144"/>
      <c r="C685" s="144" t="s">
        <v>630</v>
      </c>
      <c r="D685" s="146" t="s">
        <v>630</v>
      </c>
      <c r="E685" s="145" t="n">
        <v>38</v>
      </c>
      <c r="F685" s="145" t="n">
        <v>96</v>
      </c>
      <c r="G685" s="146" t="s">
        <v>236</v>
      </c>
    </row>
    <row r="686" customFormat="false" ht="15.75" hidden="false" customHeight="true" outlineLevel="0" collapsed="false">
      <c r="A686" s="144" t="s">
        <v>1480</v>
      </c>
      <c r="B686" s="144" t="s">
        <v>652</v>
      </c>
      <c r="C686" s="144"/>
      <c r="D686" s="146" t="s">
        <v>652</v>
      </c>
      <c r="E686" s="145" t="n">
        <v>1364</v>
      </c>
      <c r="F686" s="145" t="n">
        <v>2273</v>
      </c>
      <c r="G686" s="146" t="s">
        <v>236</v>
      </c>
    </row>
    <row r="687" customFormat="false" ht="15.75" hidden="false" customHeight="true" outlineLevel="0" collapsed="false">
      <c r="A687" s="144" t="s">
        <v>1481</v>
      </c>
      <c r="B687" s="144"/>
      <c r="C687" s="144" t="s">
        <v>630</v>
      </c>
      <c r="D687" s="146" t="s">
        <v>630</v>
      </c>
      <c r="E687" s="145" t="n">
        <v>38</v>
      </c>
      <c r="F687" s="145" t="n">
        <v>96</v>
      </c>
      <c r="G687" s="146" t="s">
        <v>236</v>
      </c>
    </row>
    <row r="688" customFormat="false" ht="15.75" hidden="false" customHeight="true" outlineLevel="0" collapsed="false">
      <c r="A688" s="144" t="s">
        <v>1482</v>
      </c>
      <c r="B688" s="144"/>
      <c r="C688" s="144" t="s">
        <v>714</v>
      </c>
      <c r="D688" s="146" t="s">
        <v>714</v>
      </c>
      <c r="E688" s="145" t="n">
        <v>5950</v>
      </c>
      <c r="F688" s="145" t="n">
        <v>10539</v>
      </c>
      <c r="G688" s="146" t="s">
        <v>236</v>
      </c>
    </row>
    <row r="689" customFormat="false" ht="15.75" hidden="false" customHeight="true" outlineLevel="0" collapsed="false">
      <c r="A689" s="144" t="s">
        <v>1483</v>
      </c>
      <c r="B689" s="144"/>
      <c r="C689" s="144" t="s">
        <v>630</v>
      </c>
      <c r="D689" s="146" t="s">
        <v>630</v>
      </c>
      <c r="E689" s="145" t="n">
        <v>38</v>
      </c>
      <c r="F689" s="145" t="n">
        <v>96</v>
      </c>
      <c r="G689" s="146" t="s">
        <v>236</v>
      </c>
    </row>
    <row r="690" customFormat="false" ht="15.75" hidden="false" customHeight="true" outlineLevel="0" collapsed="false">
      <c r="A690" s="144" t="s">
        <v>1484</v>
      </c>
      <c r="B690" s="144" t="s">
        <v>957</v>
      </c>
      <c r="C690" s="144"/>
      <c r="D690" s="146" t="s">
        <v>957</v>
      </c>
      <c r="E690" s="145" t="n">
        <v>6000</v>
      </c>
      <c r="F690" s="145" t="n">
        <v>6000</v>
      </c>
      <c r="G690" s="146" t="s">
        <v>236</v>
      </c>
    </row>
    <row r="691" customFormat="false" ht="15.75" hidden="false" customHeight="true" outlineLevel="0" collapsed="false">
      <c r="A691" s="144" t="s">
        <v>1485</v>
      </c>
      <c r="B691" s="144"/>
      <c r="C691" s="144" t="s">
        <v>630</v>
      </c>
      <c r="D691" s="146" t="s">
        <v>630</v>
      </c>
      <c r="E691" s="145" t="n">
        <v>38</v>
      </c>
      <c r="F691" s="145" t="n">
        <v>96</v>
      </c>
      <c r="G691" s="146" t="s">
        <v>236</v>
      </c>
    </row>
    <row r="692" customFormat="false" ht="15.75" hidden="false" customHeight="true" outlineLevel="0" collapsed="false">
      <c r="A692" s="144" t="s">
        <v>1486</v>
      </c>
      <c r="B692" s="144"/>
      <c r="C692" s="144" t="s">
        <v>630</v>
      </c>
      <c r="D692" s="146" t="s">
        <v>630</v>
      </c>
      <c r="E692" s="145" t="n">
        <v>38</v>
      </c>
      <c r="F692" s="145" t="n">
        <v>96</v>
      </c>
      <c r="G692" s="146" t="s">
        <v>236</v>
      </c>
    </row>
    <row r="693" customFormat="false" ht="15.75" hidden="false" customHeight="true" outlineLevel="0" collapsed="false">
      <c r="A693" s="144" t="s">
        <v>1487</v>
      </c>
      <c r="B693" s="144"/>
      <c r="C693" s="144" t="s">
        <v>630</v>
      </c>
      <c r="D693" s="146" t="s">
        <v>630</v>
      </c>
      <c r="E693" s="145" t="n">
        <v>38</v>
      </c>
      <c r="F693" s="145" t="n">
        <v>96</v>
      </c>
      <c r="G693" s="146" t="s">
        <v>236</v>
      </c>
    </row>
    <row r="694" customFormat="false" ht="15.75" hidden="false" customHeight="true" outlineLevel="0" collapsed="false">
      <c r="A694" s="144" t="s">
        <v>1488</v>
      </c>
      <c r="B694" s="144"/>
      <c r="C694" s="144" t="s">
        <v>630</v>
      </c>
      <c r="D694" s="146" t="s">
        <v>630</v>
      </c>
      <c r="E694" s="145" t="n">
        <v>38</v>
      </c>
      <c r="F694" s="145" t="n">
        <v>96</v>
      </c>
      <c r="G694" s="146" t="s">
        <v>236</v>
      </c>
    </row>
    <row r="695" customFormat="false" ht="15.75" hidden="false" customHeight="true" outlineLevel="0" collapsed="false">
      <c r="A695" s="144" t="s">
        <v>1489</v>
      </c>
      <c r="B695" s="144"/>
      <c r="C695" s="144" t="s">
        <v>630</v>
      </c>
      <c r="D695" s="146" t="s">
        <v>630</v>
      </c>
      <c r="E695" s="145" t="n">
        <v>38</v>
      </c>
      <c r="F695" s="145" t="n">
        <v>96</v>
      </c>
      <c r="G695" s="146" t="s">
        <v>236</v>
      </c>
    </row>
    <row r="696" customFormat="false" ht="15.75" hidden="false" customHeight="true" outlineLevel="0" collapsed="false">
      <c r="A696" s="144" t="s">
        <v>1490</v>
      </c>
      <c r="B696" s="144"/>
      <c r="C696" s="144" t="s">
        <v>630</v>
      </c>
      <c r="D696" s="146" t="s">
        <v>630</v>
      </c>
      <c r="E696" s="145" t="n">
        <v>38</v>
      </c>
      <c r="F696" s="145" t="n">
        <v>96</v>
      </c>
      <c r="G696" s="146" t="s">
        <v>236</v>
      </c>
    </row>
    <row r="697" customFormat="false" ht="15.75" hidden="false" customHeight="true" outlineLevel="0" collapsed="false">
      <c r="A697" s="144" t="s">
        <v>1491</v>
      </c>
      <c r="B697" s="144"/>
      <c r="C697" s="144" t="s">
        <v>630</v>
      </c>
      <c r="D697" s="146" t="s">
        <v>630</v>
      </c>
      <c r="E697" s="145" t="n">
        <v>38</v>
      </c>
      <c r="F697" s="145" t="n">
        <v>96</v>
      </c>
      <c r="G697" s="146" t="s">
        <v>236</v>
      </c>
    </row>
    <row r="698" customFormat="false" ht="15.75" hidden="false" customHeight="true" outlineLevel="0" collapsed="false">
      <c r="A698" s="144" t="s">
        <v>1492</v>
      </c>
      <c r="B698" s="144"/>
      <c r="C698" s="144" t="s">
        <v>630</v>
      </c>
      <c r="D698" s="146" t="s">
        <v>630</v>
      </c>
      <c r="E698" s="145" t="n">
        <v>38</v>
      </c>
      <c r="F698" s="145" t="n">
        <v>96</v>
      </c>
      <c r="G698" s="146" t="s">
        <v>236</v>
      </c>
    </row>
    <row r="699" customFormat="false" ht="15.75" hidden="false" customHeight="true" outlineLevel="0" collapsed="false">
      <c r="A699" s="144" t="s">
        <v>1493</v>
      </c>
      <c r="B699" s="144" t="s">
        <v>1494</v>
      </c>
      <c r="C699" s="144"/>
      <c r="D699" s="146" t="s">
        <v>1494</v>
      </c>
      <c r="E699" s="145" t="n">
        <v>465</v>
      </c>
      <c r="F699" s="145" t="n">
        <v>1604</v>
      </c>
      <c r="G699" s="146" t="s">
        <v>236</v>
      </c>
    </row>
    <row r="700" customFormat="false" ht="15.75" hidden="false" customHeight="true" outlineLevel="0" collapsed="false">
      <c r="A700" s="144" t="s">
        <v>1495</v>
      </c>
      <c r="B700" s="144"/>
      <c r="C700" s="144" t="s">
        <v>630</v>
      </c>
      <c r="D700" s="146" t="s">
        <v>630</v>
      </c>
      <c r="E700" s="145" t="n">
        <v>38</v>
      </c>
      <c r="F700" s="145" t="n">
        <v>96</v>
      </c>
      <c r="G700" s="146" t="s">
        <v>236</v>
      </c>
    </row>
    <row r="701" customFormat="false" ht="15.75" hidden="false" customHeight="true" outlineLevel="0" collapsed="false">
      <c r="A701" s="144" t="s">
        <v>1496</v>
      </c>
      <c r="B701" s="144" t="s">
        <v>661</v>
      </c>
      <c r="C701" s="144"/>
      <c r="D701" s="146" t="s">
        <v>661</v>
      </c>
      <c r="E701" s="145" t="n">
        <v>15000</v>
      </c>
      <c r="F701" s="145" t="n">
        <v>20000</v>
      </c>
      <c r="G701" s="146" t="s">
        <v>236</v>
      </c>
    </row>
    <row r="702" customFormat="false" ht="15.75" hidden="false" customHeight="true" outlineLevel="0" collapsed="false">
      <c r="A702" s="144" t="s">
        <v>1497</v>
      </c>
      <c r="B702" s="144"/>
      <c r="C702" s="144" t="s">
        <v>630</v>
      </c>
      <c r="D702" s="146" t="s">
        <v>630</v>
      </c>
      <c r="E702" s="145" t="n">
        <v>38</v>
      </c>
      <c r="F702" s="145" t="n">
        <v>96</v>
      </c>
      <c r="G702" s="146" t="s">
        <v>236</v>
      </c>
    </row>
    <row r="703" customFormat="false" ht="15.75" hidden="false" customHeight="true" outlineLevel="0" collapsed="false">
      <c r="A703" s="144" t="s">
        <v>1498</v>
      </c>
      <c r="B703" s="144"/>
      <c r="C703" s="144" t="s">
        <v>630</v>
      </c>
      <c r="D703" s="146" t="s">
        <v>630</v>
      </c>
      <c r="E703" s="145" t="n">
        <v>38</v>
      </c>
      <c r="F703" s="145" t="n">
        <v>96</v>
      </c>
      <c r="G703" s="146" t="s">
        <v>236</v>
      </c>
    </row>
    <row r="704" customFormat="false" ht="15.75" hidden="false" customHeight="true" outlineLevel="0" collapsed="false">
      <c r="A704" s="144" t="s">
        <v>1499</v>
      </c>
      <c r="B704" s="144"/>
      <c r="C704" s="144" t="s">
        <v>630</v>
      </c>
      <c r="D704" s="146" t="s">
        <v>630</v>
      </c>
      <c r="E704" s="145" t="n">
        <v>38</v>
      </c>
      <c r="F704" s="145" t="n">
        <v>96</v>
      </c>
      <c r="G704" s="146" t="s">
        <v>236</v>
      </c>
    </row>
    <row r="705" customFormat="false" ht="15.75" hidden="false" customHeight="true" outlineLevel="0" collapsed="false">
      <c r="A705" s="144" t="s">
        <v>1500</v>
      </c>
      <c r="B705" s="144" t="s">
        <v>1501</v>
      </c>
      <c r="C705" s="144"/>
      <c r="D705" s="146" t="s">
        <v>1501</v>
      </c>
      <c r="E705" s="145" t="n">
        <v>1062</v>
      </c>
      <c r="F705" s="145" t="n">
        <v>1065</v>
      </c>
      <c r="G705" s="146" t="s">
        <v>236</v>
      </c>
    </row>
    <row r="706" customFormat="false" ht="15.75" hidden="false" customHeight="true" outlineLevel="0" collapsed="false">
      <c r="A706" s="144" t="s">
        <v>1502</v>
      </c>
      <c r="B706" s="144" t="s">
        <v>1503</v>
      </c>
      <c r="C706" s="144"/>
      <c r="D706" s="146" t="s">
        <v>1503</v>
      </c>
      <c r="E706" s="145" t="n">
        <v>78</v>
      </c>
      <c r="F706" s="145" t="n">
        <v>110</v>
      </c>
      <c r="G706" s="146" t="s">
        <v>236</v>
      </c>
    </row>
    <row r="707" customFormat="false" ht="15.75" hidden="false" customHeight="true" outlineLevel="0" collapsed="false">
      <c r="A707" s="144" t="s">
        <v>1504</v>
      </c>
      <c r="B707" s="144"/>
      <c r="C707" s="144" t="s">
        <v>630</v>
      </c>
      <c r="D707" s="146" t="s">
        <v>630</v>
      </c>
      <c r="E707" s="145" t="n">
        <v>38</v>
      </c>
      <c r="F707" s="145" t="n">
        <v>96</v>
      </c>
      <c r="G707" s="146" t="s">
        <v>236</v>
      </c>
    </row>
    <row r="708" customFormat="false" ht="15.75" hidden="false" customHeight="true" outlineLevel="0" collapsed="false">
      <c r="A708" s="144" t="s">
        <v>1505</v>
      </c>
      <c r="B708" s="144" t="s">
        <v>1506</v>
      </c>
      <c r="C708" s="144"/>
      <c r="D708" s="146" t="s">
        <v>1506</v>
      </c>
      <c r="E708" s="145" t="n">
        <v>134</v>
      </c>
      <c r="F708" s="145" t="n">
        <v>134</v>
      </c>
      <c r="G708" s="146" t="s">
        <v>236</v>
      </c>
    </row>
    <row r="709" customFormat="false" ht="15.75" hidden="false" customHeight="true" outlineLevel="0" collapsed="false">
      <c r="A709" s="144" t="s">
        <v>1507</v>
      </c>
      <c r="B709" s="144"/>
      <c r="C709" s="144" t="s">
        <v>630</v>
      </c>
      <c r="D709" s="146" t="s">
        <v>630</v>
      </c>
      <c r="E709" s="145" t="n">
        <v>38</v>
      </c>
      <c r="F709" s="145" t="n">
        <v>96</v>
      </c>
      <c r="G709" s="146" t="s">
        <v>236</v>
      </c>
    </row>
    <row r="710" customFormat="false" ht="15.75" hidden="false" customHeight="true" outlineLevel="0" collapsed="false">
      <c r="A710" s="144" t="s">
        <v>1508</v>
      </c>
      <c r="B710" s="144"/>
      <c r="C710" s="144" t="s">
        <v>630</v>
      </c>
      <c r="D710" s="146" t="s">
        <v>630</v>
      </c>
      <c r="E710" s="145" t="n">
        <v>38</v>
      </c>
      <c r="F710" s="145" t="n">
        <v>96</v>
      </c>
      <c r="G710" s="146" t="s">
        <v>236</v>
      </c>
    </row>
    <row r="711" customFormat="false" ht="15.75" hidden="false" customHeight="true" outlineLevel="0" collapsed="false">
      <c r="A711" s="144" t="s">
        <v>1509</v>
      </c>
      <c r="B711" s="144" t="s">
        <v>1510</v>
      </c>
      <c r="C711" s="144"/>
      <c r="D711" s="146" t="s">
        <v>1510</v>
      </c>
      <c r="E711" s="145" t="n">
        <v>73100</v>
      </c>
      <c r="F711" s="145" t="n">
        <v>73100</v>
      </c>
      <c r="G711" s="146" t="s">
        <v>236</v>
      </c>
    </row>
    <row r="712" customFormat="false" ht="15.75" hidden="false" customHeight="true" outlineLevel="0" collapsed="false">
      <c r="A712" s="144" t="s">
        <v>1511</v>
      </c>
      <c r="B712" s="144"/>
      <c r="C712" s="144" t="s">
        <v>630</v>
      </c>
      <c r="D712" s="146" t="s">
        <v>630</v>
      </c>
      <c r="E712" s="145" t="n">
        <v>38</v>
      </c>
      <c r="F712" s="145" t="n">
        <v>96</v>
      </c>
      <c r="G712" s="146" t="s">
        <v>236</v>
      </c>
    </row>
    <row r="713" customFormat="false" ht="15.75" hidden="false" customHeight="true" outlineLevel="0" collapsed="false">
      <c r="A713" s="144" t="s">
        <v>1512</v>
      </c>
      <c r="B713" s="144"/>
      <c r="C713" s="144" t="s">
        <v>630</v>
      </c>
      <c r="D713" s="146" t="s">
        <v>630</v>
      </c>
      <c r="E713" s="145" t="n">
        <v>38</v>
      </c>
      <c r="F713" s="145" t="n">
        <v>96</v>
      </c>
      <c r="G713" s="146" t="s">
        <v>236</v>
      </c>
    </row>
    <row r="714" customFormat="false" ht="15.75" hidden="false" customHeight="true" outlineLevel="0" collapsed="false">
      <c r="A714" s="144" t="s">
        <v>1513</v>
      </c>
      <c r="B714" s="144" t="s">
        <v>1514</v>
      </c>
      <c r="C714" s="144"/>
      <c r="D714" s="146" t="s">
        <v>1514</v>
      </c>
      <c r="E714" s="145" t="n">
        <v>4397</v>
      </c>
      <c r="F714" s="145" t="n">
        <v>15000</v>
      </c>
      <c r="G714" s="146" t="s">
        <v>236</v>
      </c>
    </row>
    <row r="715" customFormat="false" ht="15.75" hidden="false" customHeight="true" outlineLevel="0" collapsed="false">
      <c r="A715" s="144" t="s">
        <v>1515</v>
      </c>
      <c r="B715" s="144" t="s">
        <v>1516</v>
      </c>
      <c r="C715" s="144"/>
      <c r="D715" s="146" t="s">
        <v>1516</v>
      </c>
      <c r="E715" s="145" t="n">
        <v>1260</v>
      </c>
      <c r="F715" s="145" t="n">
        <v>2350</v>
      </c>
      <c r="G715" s="146" t="s">
        <v>236</v>
      </c>
    </row>
    <row r="716" customFormat="false" ht="15.75" hidden="false" customHeight="true" outlineLevel="0" collapsed="false">
      <c r="A716" s="144" t="s">
        <v>1517</v>
      </c>
      <c r="B716" s="144"/>
      <c r="C716" s="144" t="s">
        <v>630</v>
      </c>
      <c r="D716" s="146" t="s">
        <v>630</v>
      </c>
      <c r="E716" s="145" t="n">
        <v>38</v>
      </c>
      <c r="F716" s="145" t="n">
        <v>96</v>
      </c>
      <c r="G716" s="146" t="s">
        <v>236</v>
      </c>
    </row>
    <row r="717" customFormat="false" ht="15.75" hidden="false" customHeight="true" outlineLevel="0" collapsed="false">
      <c r="A717" s="144" t="s">
        <v>1518</v>
      </c>
      <c r="B717" s="144" t="s">
        <v>957</v>
      </c>
      <c r="C717" s="144"/>
      <c r="D717" s="146" t="s">
        <v>957</v>
      </c>
      <c r="E717" s="145" t="n">
        <v>6000</v>
      </c>
      <c r="F717" s="145" t="n">
        <v>6000</v>
      </c>
      <c r="G717" s="146" t="s">
        <v>236</v>
      </c>
    </row>
    <row r="718" customFormat="false" ht="15.75" hidden="false" customHeight="true" outlineLevel="0" collapsed="false">
      <c r="A718" s="144" t="s">
        <v>1519</v>
      </c>
      <c r="B718" s="144" t="s">
        <v>1520</v>
      </c>
      <c r="C718" s="144"/>
      <c r="D718" s="146" t="s">
        <v>1520</v>
      </c>
      <c r="E718" s="145" t="n">
        <v>908</v>
      </c>
      <c r="F718" s="145" t="n">
        <v>6810</v>
      </c>
      <c r="G718" s="146" t="s">
        <v>236</v>
      </c>
    </row>
    <row r="719" customFormat="false" ht="15.75" hidden="false" customHeight="true" outlineLevel="0" collapsed="false">
      <c r="A719" s="144" t="s">
        <v>1521</v>
      </c>
      <c r="B719" s="144"/>
      <c r="C719" s="144" t="s">
        <v>630</v>
      </c>
      <c r="D719" s="146" t="s">
        <v>630</v>
      </c>
      <c r="E719" s="145" t="n">
        <v>38</v>
      </c>
      <c r="F719" s="145" t="n">
        <v>96</v>
      </c>
      <c r="G719" s="146" t="s">
        <v>236</v>
      </c>
    </row>
    <row r="720" customFormat="false" ht="15.75" hidden="false" customHeight="true" outlineLevel="0" collapsed="false">
      <c r="A720" s="144" t="s">
        <v>1522</v>
      </c>
      <c r="B720" s="144"/>
      <c r="C720" s="144" t="s">
        <v>1417</v>
      </c>
      <c r="D720" s="146" t="s">
        <v>1417</v>
      </c>
      <c r="E720" s="145" t="n">
        <v>1155</v>
      </c>
      <c r="F720" s="145" t="n">
        <v>1575</v>
      </c>
      <c r="G720" s="146" t="s">
        <v>236</v>
      </c>
    </row>
    <row r="721" customFormat="false" ht="15.75" hidden="false" customHeight="true" outlineLevel="0" collapsed="false">
      <c r="A721" s="144" t="s">
        <v>1523</v>
      </c>
      <c r="B721" s="144"/>
      <c r="C721" s="144" t="s">
        <v>714</v>
      </c>
      <c r="D721" s="146" t="s">
        <v>714</v>
      </c>
      <c r="E721" s="145" t="n">
        <v>5950</v>
      </c>
      <c r="F721" s="145" t="n">
        <v>10539</v>
      </c>
      <c r="G721" s="146" t="s">
        <v>236</v>
      </c>
    </row>
    <row r="722" customFormat="false" ht="15.75" hidden="false" customHeight="true" outlineLevel="0" collapsed="false">
      <c r="A722" s="144" t="s">
        <v>1524</v>
      </c>
      <c r="B722" s="144"/>
      <c r="C722" s="144" t="s">
        <v>630</v>
      </c>
      <c r="D722" s="146" t="s">
        <v>630</v>
      </c>
      <c r="E722" s="145" t="n">
        <v>38</v>
      </c>
      <c r="F722" s="145" t="n">
        <v>96</v>
      </c>
      <c r="G722" s="146" t="s">
        <v>236</v>
      </c>
    </row>
    <row r="723" customFormat="false" ht="15.75" hidden="false" customHeight="true" outlineLevel="0" collapsed="false">
      <c r="A723" s="144" t="s">
        <v>1525</v>
      </c>
      <c r="B723" s="144" t="s">
        <v>1526</v>
      </c>
      <c r="C723" s="144"/>
      <c r="D723" s="146" t="s">
        <v>1526</v>
      </c>
      <c r="E723" s="145" t="n">
        <v>20</v>
      </c>
      <c r="F723" s="145" t="n">
        <v>500</v>
      </c>
      <c r="G723" s="146" t="s">
        <v>236</v>
      </c>
    </row>
    <row r="724" customFormat="false" ht="15.75" hidden="false" customHeight="true" outlineLevel="0" collapsed="false">
      <c r="A724" s="144" t="s">
        <v>1527</v>
      </c>
      <c r="B724" s="144"/>
      <c r="C724" s="144" t="s">
        <v>630</v>
      </c>
      <c r="D724" s="146" t="s">
        <v>630</v>
      </c>
      <c r="E724" s="145" t="n">
        <v>38</v>
      </c>
      <c r="F724" s="145" t="n">
        <v>96</v>
      </c>
      <c r="G724" s="146" t="s">
        <v>236</v>
      </c>
    </row>
    <row r="725" customFormat="false" ht="15.75" hidden="false" customHeight="true" outlineLevel="0" collapsed="false">
      <c r="A725" s="144" t="s">
        <v>1528</v>
      </c>
      <c r="B725" s="144" t="s">
        <v>1529</v>
      </c>
      <c r="C725" s="144"/>
      <c r="D725" s="146" t="s">
        <v>1529</v>
      </c>
      <c r="E725" s="145" t="n">
        <v>85</v>
      </c>
      <c r="F725" s="145" t="n">
        <v>85</v>
      </c>
      <c r="G725" s="146" t="s">
        <v>236</v>
      </c>
    </row>
    <row r="726" customFormat="false" ht="15.75" hidden="false" customHeight="true" outlineLevel="0" collapsed="false">
      <c r="A726" s="144" t="s">
        <v>1530</v>
      </c>
      <c r="B726" s="144" t="s">
        <v>1531</v>
      </c>
      <c r="C726" s="144"/>
      <c r="D726" s="146" t="s">
        <v>1531</v>
      </c>
      <c r="E726" s="145" t="n">
        <v>658</v>
      </c>
      <c r="F726" s="145" t="n">
        <v>772</v>
      </c>
      <c r="G726" s="146" t="s">
        <v>236</v>
      </c>
    </row>
    <row r="727" customFormat="false" ht="15.75" hidden="false" customHeight="true" outlineLevel="0" collapsed="false">
      <c r="A727" s="144" t="s">
        <v>1532</v>
      </c>
      <c r="B727" s="144"/>
      <c r="C727" s="144" t="s">
        <v>630</v>
      </c>
      <c r="D727" s="146" t="s">
        <v>630</v>
      </c>
      <c r="E727" s="145" t="n">
        <v>38</v>
      </c>
      <c r="F727" s="145" t="n">
        <v>96</v>
      </c>
      <c r="G727" s="146" t="s">
        <v>236</v>
      </c>
    </row>
    <row r="728" customFormat="false" ht="15.75" hidden="false" customHeight="true" outlineLevel="0" collapsed="false">
      <c r="A728" s="144" t="s">
        <v>1533</v>
      </c>
      <c r="B728" s="144"/>
      <c r="C728" s="144" t="s">
        <v>630</v>
      </c>
      <c r="D728" s="146" t="s">
        <v>630</v>
      </c>
      <c r="E728" s="145" t="n">
        <v>38</v>
      </c>
      <c r="F728" s="145" t="n">
        <v>96</v>
      </c>
      <c r="G728" s="146" t="s">
        <v>236</v>
      </c>
    </row>
    <row r="729" customFormat="false" ht="15.75" hidden="false" customHeight="true" outlineLevel="0" collapsed="false">
      <c r="A729" s="144" t="s">
        <v>1534</v>
      </c>
      <c r="B729" s="233" t="s">
        <v>1535</v>
      </c>
      <c r="C729" s="144"/>
      <c r="D729" s="146" t="s">
        <v>1535</v>
      </c>
      <c r="E729" s="145" t="n">
        <v>3</v>
      </c>
      <c r="F729" s="145" t="n">
        <v>9</v>
      </c>
      <c r="G729" s="146" t="s">
        <v>236</v>
      </c>
    </row>
    <row r="730" customFormat="false" ht="15.75" hidden="false" customHeight="true" outlineLevel="0" collapsed="false">
      <c r="A730" s="144" t="s">
        <v>1536</v>
      </c>
      <c r="B730" s="144" t="s">
        <v>1537</v>
      </c>
      <c r="C730" s="144"/>
      <c r="D730" s="146" t="s">
        <v>1537</v>
      </c>
      <c r="E730" s="145" t="n">
        <v>101</v>
      </c>
      <c r="F730" s="145" t="n">
        <v>386</v>
      </c>
      <c r="G730" s="146" t="s">
        <v>236</v>
      </c>
    </row>
    <row r="731" customFormat="false" ht="15.75" hidden="false" customHeight="true" outlineLevel="0" collapsed="false">
      <c r="A731" s="144" t="s">
        <v>1538</v>
      </c>
      <c r="B731" s="144" t="s">
        <v>1539</v>
      </c>
      <c r="C731" s="144"/>
      <c r="D731" s="146" t="s">
        <v>1539</v>
      </c>
      <c r="E731" s="145" t="n">
        <v>19</v>
      </c>
      <c r="F731" s="145" t="n">
        <v>32</v>
      </c>
      <c r="G731" s="146" t="s">
        <v>236</v>
      </c>
    </row>
    <row r="732" customFormat="false" ht="15.75" hidden="false" customHeight="true" outlineLevel="0" collapsed="false">
      <c r="A732" s="144" t="s">
        <v>1540</v>
      </c>
      <c r="B732" s="144"/>
      <c r="C732" s="144" t="s">
        <v>630</v>
      </c>
      <c r="D732" s="146" t="s">
        <v>630</v>
      </c>
      <c r="E732" s="145" t="n">
        <v>38</v>
      </c>
      <c r="F732" s="145" t="n">
        <v>96</v>
      </c>
      <c r="G732" s="146" t="s">
        <v>236</v>
      </c>
    </row>
    <row r="733" customFormat="false" ht="15.75" hidden="false" customHeight="true" outlineLevel="0" collapsed="false">
      <c r="A733" s="144" t="s">
        <v>1541</v>
      </c>
      <c r="B733" s="144"/>
      <c r="C733" s="144" t="s">
        <v>714</v>
      </c>
      <c r="D733" s="146" t="s">
        <v>714</v>
      </c>
      <c r="E733" s="145" t="n">
        <v>5950</v>
      </c>
      <c r="F733" s="145" t="n">
        <v>10539</v>
      </c>
      <c r="G733" s="146" t="s">
        <v>236</v>
      </c>
    </row>
    <row r="734" customFormat="false" ht="15.75" hidden="false" customHeight="true" outlineLevel="0" collapsed="false">
      <c r="A734" s="144" t="s">
        <v>1542</v>
      </c>
      <c r="B734" s="144" t="s">
        <v>1543</v>
      </c>
      <c r="C734" s="144"/>
      <c r="D734" s="146" t="s">
        <v>1543</v>
      </c>
      <c r="E734" s="145" t="n">
        <v>44079</v>
      </c>
      <c r="F734" s="145" t="n">
        <v>44079</v>
      </c>
      <c r="G734" s="146" t="s">
        <v>236</v>
      </c>
    </row>
    <row r="735" customFormat="false" ht="15.75" hidden="false" customHeight="true" outlineLevel="0" collapsed="false">
      <c r="A735" s="144" t="s">
        <v>1544</v>
      </c>
      <c r="B735" s="144" t="s">
        <v>1545</v>
      </c>
      <c r="C735" s="144"/>
      <c r="D735" s="146" t="s">
        <v>1545</v>
      </c>
      <c r="E735" s="145" t="n">
        <v>18</v>
      </c>
      <c r="F735" s="145" t="n">
        <v>520</v>
      </c>
      <c r="G735" s="146" t="s">
        <v>236</v>
      </c>
    </row>
    <row r="736" customFormat="false" ht="15.75" hidden="false" customHeight="true" outlineLevel="0" collapsed="false">
      <c r="A736" s="144" t="s">
        <v>1546</v>
      </c>
      <c r="B736" s="144"/>
      <c r="C736" s="144" t="s">
        <v>630</v>
      </c>
      <c r="D736" s="146" t="s">
        <v>630</v>
      </c>
      <c r="E736" s="145" t="n">
        <v>38</v>
      </c>
      <c r="F736" s="145" t="n">
        <v>96</v>
      </c>
      <c r="G736" s="146" t="s">
        <v>236</v>
      </c>
    </row>
    <row r="737" customFormat="false" ht="15.75" hidden="false" customHeight="true" outlineLevel="0" collapsed="false">
      <c r="A737" s="144" t="s">
        <v>1547</v>
      </c>
      <c r="B737" s="144" t="s">
        <v>719</v>
      </c>
      <c r="C737" s="144"/>
      <c r="D737" s="146" t="s">
        <v>719</v>
      </c>
      <c r="E737" s="145" t="n">
        <v>2000</v>
      </c>
      <c r="F737" s="145" t="n">
        <v>2000</v>
      </c>
      <c r="G737" s="146" t="s">
        <v>236</v>
      </c>
    </row>
    <row r="738" customFormat="false" ht="15.75" hidden="false" customHeight="true" outlineLevel="0" collapsed="false">
      <c r="A738" s="144" t="s">
        <v>1548</v>
      </c>
      <c r="B738" s="144"/>
      <c r="C738" s="144" t="s">
        <v>630</v>
      </c>
      <c r="D738" s="146" t="s">
        <v>630</v>
      </c>
      <c r="E738" s="145" t="n">
        <v>38</v>
      </c>
      <c r="F738" s="145" t="n">
        <v>96</v>
      </c>
      <c r="G738" s="146" t="s">
        <v>236</v>
      </c>
    </row>
    <row r="739" customFormat="false" ht="15.75" hidden="false" customHeight="true" outlineLevel="0" collapsed="false">
      <c r="A739" s="144" t="s">
        <v>1549</v>
      </c>
      <c r="B739" s="144"/>
      <c r="C739" s="144" t="s">
        <v>630</v>
      </c>
      <c r="D739" s="146" t="s">
        <v>630</v>
      </c>
      <c r="E739" s="145" t="n">
        <v>38</v>
      </c>
      <c r="F739" s="145" t="n">
        <v>96</v>
      </c>
      <c r="G739" s="146" t="s">
        <v>236</v>
      </c>
    </row>
    <row r="740" customFormat="false" ht="15.75" hidden="false" customHeight="true" outlineLevel="0" collapsed="false">
      <c r="A740" s="144" t="s">
        <v>1550</v>
      </c>
      <c r="B740" s="144" t="s">
        <v>1551</v>
      </c>
      <c r="C740" s="144"/>
      <c r="D740" s="146" t="s">
        <v>1551</v>
      </c>
      <c r="E740" s="145" t="n">
        <v>208</v>
      </c>
      <c r="F740" s="145" t="n">
        <v>231</v>
      </c>
      <c r="G740" s="146" t="s">
        <v>236</v>
      </c>
    </row>
    <row r="741" customFormat="false" ht="15.75" hidden="false" customHeight="true" outlineLevel="0" collapsed="false">
      <c r="A741" s="144" t="s">
        <v>1552</v>
      </c>
      <c r="B741" s="144"/>
      <c r="C741" s="144" t="s">
        <v>630</v>
      </c>
      <c r="D741" s="146" t="s">
        <v>630</v>
      </c>
      <c r="E741" s="145" t="n">
        <v>38</v>
      </c>
      <c r="F741" s="145" t="n">
        <v>96</v>
      </c>
      <c r="G741" s="146" t="s">
        <v>236</v>
      </c>
    </row>
    <row r="742" customFormat="false" ht="15.75" hidden="false" customHeight="true" outlineLevel="0" collapsed="false">
      <c r="A742" s="144" t="s">
        <v>1553</v>
      </c>
      <c r="B742" s="144"/>
      <c r="C742" s="144" t="s">
        <v>630</v>
      </c>
      <c r="D742" s="146" t="s">
        <v>630</v>
      </c>
      <c r="E742" s="145" t="n">
        <v>38</v>
      </c>
      <c r="F742" s="145" t="n">
        <v>96</v>
      </c>
      <c r="G742" s="146" t="s">
        <v>236</v>
      </c>
    </row>
    <row r="743" customFormat="false" ht="15.75" hidden="false" customHeight="true" outlineLevel="0" collapsed="false">
      <c r="A743" s="144" t="s">
        <v>1554</v>
      </c>
      <c r="B743" s="144"/>
      <c r="C743" s="144" t="s">
        <v>630</v>
      </c>
      <c r="D743" s="146" t="s">
        <v>630</v>
      </c>
      <c r="E743" s="145" t="n">
        <v>38</v>
      </c>
      <c r="F743" s="145" t="n">
        <v>96</v>
      </c>
      <c r="G743" s="146" t="s">
        <v>236</v>
      </c>
    </row>
    <row r="744" customFormat="false" ht="15.75" hidden="false" customHeight="true" outlineLevel="0" collapsed="false">
      <c r="A744" s="144" t="s">
        <v>1555</v>
      </c>
      <c r="B744" s="144"/>
      <c r="C744" s="144" t="s">
        <v>630</v>
      </c>
      <c r="D744" s="146" t="s">
        <v>630</v>
      </c>
      <c r="E744" s="145" t="n">
        <v>38</v>
      </c>
      <c r="F744" s="145" t="n">
        <v>96</v>
      </c>
      <c r="G744" s="146" t="s">
        <v>236</v>
      </c>
    </row>
    <row r="745" customFormat="false" ht="15.75" hidden="false" customHeight="true" outlineLevel="0" collapsed="false">
      <c r="A745" s="144" t="s">
        <v>1556</v>
      </c>
      <c r="B745" s="144"/>
      <c r="C745" s="144" t="s">
        <v>630</v>
      </c>
      <c r="D745" s="146" t="s">
        <v>630</v>
      </c>
      <c r="E745" s="145" t="n">
        <v>38</v>
      </c>
      <c r="F745" s="145" t="n">
        <v>96</v>
      </c>
      <c r="G745" s="146" t="s">
        <v>236</v>
      </c>
    </row>
    <row r="746" customFormat="false" ht="15.75" hidden="false" customHeight="true" outlineLevel="0" collapsed="false">
      <c r="A746" s="144" t="s">
        <v>1557</v>
      </c>
      <c r="B746" s="144"/>
      <c r="C746" s="144" t="s">
        <v>630</v>
      </c>
      <c r="D746" s="146" t="s">
        <v>630</v>
      </c>
      <c r="E746" s="145" t="n">
        <v>38</v>
      </c>
      <c r="F746" s="145" t="n">
        <v>96</v>
      </c>
      <c r="G746" s="146" t="s">
        <v>236</v>
      </c>
    </row>
    <row r="747" customFormat="false" ht="15.75" hidden="false" customHeight="true" outlineLevel="0" collapsed="false">
      <c r="A747" s="144" t="s">
        <v>1558</v>
      </c>
      <c r="B747" s="144" t="s">
        <v>719</v>
      </c>
      <c r="C747" s="144"/>
      <c r="D747" s="146" t="s">
        <v>719</v>
      </c>
      <c r="E747" s="145" t="n">
        <v>2000</v>
      </c>
      <c r="F747" s="145" t="n">
        <v>2000</v>
      </c>
      <c r="G747" s="146" t="s">
        <v>236</v>
      </c>
    </row>
    <row r="748" customFormat="false" ht="15.75" hidden="false" customHeight="true" outlineLevel="0" collapsed="false">
      <c r="A748" s="144" t="s">
        <v>1559</v>
      </c>
      <c r="B748" s="144"/>
      <c r="C748" s="144" t="s">
        <v>630</v>
      </c>
      <c r="D748" s="146" t="s">
        <v>630</v>
      </c>
      <c r="E748" s="145" t="n">
        <v>38</v>
      </c>
      <c r="F748" s="145" t="n">
        <v>96</v>
      </c>
      <c r="G748" s="146" t="s">
        <v>236</v>
      </c>
    </row>
    <row r="749" customFormat="false" ht="15.75" hidden="false" customHeight="true" outlineLevel="0" collapsed="false">
      <c r="A749" s="144" t="s">
        <v>1560</v>
      </c>
      <c r="B749" s="144" t="s">
        <v>594</v>
      </c>
      <c r="C749" s="144"/>
      <c r="D749" s="146" t="s">
        <v>594</v>
      </c>
      <c r="E749" s="145" t="n">
        <v>2000</v>
      </c>
      <c r="F749" s="145" t="n">
        <v>5000</v>
      </c>
      <c r="G749" s="146" t="s">
        <v>236</v>
      </c>
    </row>
    <row r="750" customFormat="false" ht="15.75" hidden="false" customHeight="true" outlineLevel="0" collapsed="false">
      <c r="A750" s="144" t="s">
        <v>1561</v>
      </c>
      <c r="B750" s="144"/>
      <c r="C750" s="144" t="s">
        <v>714</v>
      </c>
      <c r="D750" s="146" t="s">
        <v>714</v>
      </c>
      <c r="E750" s="145" t="n">
        <v>5950</v>
      </c>
      <c r="F750" s="145" t="n">
        <v>10539</v>
      </c>
      <c r="G750" s="146" t="s">
        <v>236</v>
      </c>
    </row>
    <row r="751" customFormat="false" ht="15.75" hidden="false" customHeight="true" outlineLevel="0" collapsed="false">
      <c r="A751" s="144" t="s">
        <v>1562</v>
      </c>
      <c r="B751" s="144" t="s">
        <v>1563</v>
      </c>
      <c r="C751" s="144"/>
      <c r="D751" s="146" t="s">
        <v>1563</v>
      </c>
      <c r="E751" s="145" t="n">
        <v>227</v>
      </c>
      <c r="F751" s="145" t="n">
        <v>2750</v>
      </c>
      <c r="G751" s="146" t="s">
        <v>236</v>
      </c>
    </row>
    <row r="752" customFormat="false" ht="15.75" hidden="false" customHeight="true" outlineLevel="0" collapsed="false">
      <c r="A752" s="144" t="s">
        <v>1564</v>
      </c>
      <c r="B752" s="144"/>
      <c r="C752" s="144" t="s">
        <v>630</v>
      </c>
      <c r="D752" s="146" t="s">
        <v>630</v>
      </c>
      <c r="E752" s="145" t="n">
        <v>38</v>
      </c>
      <c r="F752" s="145" t="n">
        <v>96</v>
      </c>
      <c r="G752" s="146" t="s">
        <v>236</v>
      </c>
    </row>
    <row r="753" customFormat="false" ht="15.75" hidden="false" customHeight="true" outlineLevel="0" collapsed="false">
      <c r="A753" s="144" t="s">
        <v>1565</v>
      </c>
      <c r="B753" s="144"/>
      <c r="C753" s="144" t="s">
        <v>630</v>
      </c>
      <c r="D753" s="146" t="s">
        <v>630</v>
      </c>
      <c r="E753" s="145" t="n">
        <v>38</v>
      </c>
      <c r="F753" s="145" t="n">
        <v>96</v>
      </c>
      <c r="G753" s="146" t="s">
        <v>236</v>
      </c>
    </row>
    <row r="754" customFormat="false" ht="15.75" hidden="false" customHeight="true" outlineLevel="0" collapsed="false">
      <c r="A754" s="144" t="s">
        <v>1566</v>
      </c>
      <c r="B754" s="144"/>
      <c r="C754" s="144" t="s">
        <v>630</v>
      </c>
      <c r="D754" s="146" t="s">
        <v>630</v>
      </c>
      <c r="E754" s="145" t="n">
        <v>38</v>
      </c>
      <c r="F754" s="145" t="n">
        <v>96</v>
      </c>
      <c r="G754" s="146" t="s">
        <v>236</v>
      </c>
    </row>
    <row r="755" customFormat="false" ht="15.75" hidden="false" customHeight="true" outlineLevel="0" collapsed="false">
      <c r="A755" s="144" t="s">
        <v>1567</v>
      </c>
      <c r="B755" s="144"/>
      <c r="C755" s="144" t="s">
        <v>714</v>
      </c>
      <c r="D755" s="146" t="s">
        <v>714</v>
      </c>
      <c r="E755" s="145" t="n">
        <v>5950</v>
      </c>
      <c r="F755" s="145" t="n">
        <v>10539</v>
      </c>
      <c r="G755" s="146" t="s">
        <v>236</v>
      </c>
    </row>
    <row r="756" customFormat="false" ht="15.75" hidden="false" customHeight="true" outlineLevel="0" collapsed="false">
      <c r="A756" s="144" t="s">
        <v>1568</v>
      </c>
      <c r="B756" s="144"/>
      <c r="C756" s="144" t="s">
        <v>630</v>
      </c>
      <c r="D756" s="146" t="s">
        <v>630</v>
      </c>
      <c r="E756" s="145" t="n">
        <v>38</v>
      </c>
      <c r="F756" s="145" t="n">
        <v>96</v>
      </c>
      <c r="G756" s="146" t="s">
        <v>236</v>
      </c>
    </row>
    <row r="757" customFormat="false" ht="15.75" hidden="false" customHeight="true" outlineLevel="0" collapsed="false">
      <c r="A757" s="144" t="s">
        <v>1569</v>
      </c>
      <c r="B757" s="144"/>
      <c r="C757" s="144" t="s">
        <v>630</v>
      </c>
      <c r="D757" s="146" t="s">
        <v>630</v>
      </c>
      <c r="E757" s="145" t="n">
        <v>38</v>
      </c>
      <c r="F757" s="145" t="n">
        <v>96</v>
      </c>
      <c r="G757" s="146" t="s">
        <v>236</v>
      </c>
    </row>
    <row r="758" customFormat="false" ht="15.75" hidden="false" customHeight="true" outlineLevel="0" collapsed="false">
      <c r="A758" s="144" t="s">
        <v>1570</v>
      </c>
      <c r="B758" s="144"/>
      <c r="C758" s="144" t="s">
        <v>630</v>
      </c>
      <c r="D758" s="146" t="s">
        <v>630</v>
      </c>
      <c r="E758" s="145" t="n">
        <v>38</v>
      </c>
      <c r="F758" s="145" t="n">
        <v>96</v>
      </c>
      <c r="G758" s="146" t="s">
        <v>236</v>
      </c>
    </row>
    <row r="759" customFormat="false" ht="15.75" hidden="false" customHeight="true" outlineLevel="0" collapsed="false">
      <c r="A759" s="144" t="s">
        <v>1571</v>
      </c>
      <c r="B759" s="144" t="s">
        <v>1572</v>
      </c>
      <c r="C759" s="144"/>
      <c r="D759" s="146" t="s">
        <v>1572</v>
      </c>
      <c r="E759" s="145" t="n">
        <v>220</v>
      </c>
      <c r="F759" s="145" t="n">
        <v>300</v>
      </c>
      <c r="G759" s="146" t="s">
        <v>236</v>
      </c>
    </row>
    <row r="760" customFormat="false" ht="15.75" hidden="false" customHeight="true" outlineLevel="0" collapsed="false">
      <c r="A760" s="144" t="s">
        <v>1573</v>
      </c>
      <c r="B760" s="144" t="s">
        <v>1574</v>
      </c>
      <c r="C760" s="144"/>
      <c r="D760" s="146" t="s">
        <v>1574</v>
      </c>
      <c r="E760" s="145" t="n">
        <v>190</v>
      </c>
      <c r="F760" s="145" t="n">
        <v>1866</v>
      </c>
      <c r="G760" s="146" t="s">
        <v>236</v>
      </c>
    </row>
    <row r="761" customFormat="false" ht="15.75" hidden="false" customHeight="true" outlineLevel="0" collapsed="false">
      <c r="A761" s="144" t="s">
        <v>1575</v>
      </c>
      <c r="B761" s="144" t="s">
        <v>1576</v>
      </c>
      <c r="C761" s="144"/>
      <c r="D761" s="146" t="s">
        <v>1576</v>
      </c>
      <c r="E761" s="145" t="n">
        <v>22600</v>
      </c>
      <c r="F761" s="145" t="n">
        <v>22600</v>
      </c>
      <c r="G761" s="146" t="s">
        <v>236</v>
      </c>
    </row>
    <row r="762" customFormat="false" ht="15.75" hidden="false" customHeight="true" outlineLevel="0" collapsed="false">
      <c r="A762" s="144" t="s">
        <v>1577</v>
      </c>
      <c r="B762" s="144" t="s">
        <v>1578</v>
      </c>
      <c r="C762" s="144"/>
      <c r="D762" s="146" t="s">
        <v>1578</v>
      </c>
      <c r="E762" s="145" t="n">
        <v>67</v>
      </c>
      <c r="F762" s="145" t="n">
        <v>91</v>
      </c>
      <c r="G762" s="146" t="s">
        <v>236</v>
      </c>
    </row>
    <row r="763" customFormat="false" ht="15.75" hidden="false" customHeight="true" outlineLevel="0" collapsed="false">
      <c r="A763" s="144" t="s">
        <v>1579</v>
      </c>
      <c r="B763" s="144"/>
      <c r="C763" s="144" t="s">
        <v>630</v>
      </c>
      <c r="D763" s="146" t="s">
        <v>630</v>
      </c>
      <c r="E763" s="145" t="n">
        <v>38</v>
      </c>
      <c r="F763" s="145" t="n">
        <v>96</v>
      </c>
      <c r="G763" s="146" t="s">
        <v>236</v>
      </c>
    </row>
    <row r="764" customFormat="false" ht="15.75" hidden="false" customHeight="true" outlineLevel="0" collapsed="false">
      <c r="A764" s="144" t="s">
        <v>1580</v>
      </c>
      <c r="B764" s="144"/>
      <c r="C764" s="144" t="s">
        <v>630</v>
      </c>
      <c r="D764" s="146" t="s">
        <v>630</v>
      </c>
      <c r="E764" s="145" t="n">
        <v>38</v>
      </c>
      <c r="F764" s="145" t="n">
        <v>96</v>
      </c>
      <c r="G764" s="146" t="s">
        <v>236</v>
      </c>
    </row>
    <row r="765" customFormat="false" ht="15.75" hidden="false" customHeight="true" outlineLevel="0" collapsed="false">
      <c r="A765" s="144" t="s">
        <v>1581</v>
      </c>
      <c r="B765" s="144"/>
      <c r="C765" s="144" t="s">
        <v>630</v>
      </c>
      <c r="D765" s="146" t="s">
        <v>630</v>
      </c>
      <c r="E765" s="145" t="n">
        <v>38</v>
      </c>
      <c r="F765" s="145" t="n">
        <v>96</v>
      </c>
      <c r="G765" s="146" t="s">
        <v>236</v>
      </c>
    </row>
    <row r="766" customFormat="false" ht="15.75" hidden="false" customHeight="true" outlineLevel="0" collapsed="false">
      <c r="A766" s="144" t="s">
        <v>1582</v>
      </c>
      <c r="B766" s="144"/>
      <c r="C766" s="144" t="s">
        <v>630</v>
      </c>
      <c r="D766" s="146" t="s">
        <v>630</v>
      </c>
      <c r="E766" s="145" t="n">
        <v>38</v>
      </c>
      <c r="F766" s="145" t="n">
        <v>96</v>
      </c>
      <c r="G766" s="146" t="s">
        <v>236</v>
      </c>
    </row>
    <row r="767" customFormat="false" ht="15.75" hidden="false" customHeight="true" outlineLevel="0" collapsed="false">
      <c r="A767" s="144" t="s">
        <v>1583</v>
      </c>
      <c r="B767" s="144"/>
      <c r="C767" s="144" t="s">
        <v>630</v>
      </c>
      <c r="D767" s="146" t="s">
        <v>630</v>
      </c>
      <c r="E767" s="145" t="n">
        <v>38</v>
      </c>
      <c r="F767" s="145" t="n">
        <v>96</v>
      </c>
      <c r="G767" s="146" t="s">
        <v>236</v>
      </c>
    </row>
    <row r="768" customFormat="false" ht="15.75" hidden="false" customHeight="true" outlineLevel="0" collapsed="false">
      <c r="A768" s="144" t="s">
        <v>1584</v>
      </c>
      <c r="B768" s="144"/>
      <c r="C768" s="144" t="s">
        <v>630</v>
      </c>
      <c r="D768" s="146" t="s">
        <v>630</v>
      </c>
      <c r="E768" s="145" t="n">
        <v>38</v>
      </c>
      <c r="F768" s="145" t="n">
        <v>96</v>
      </c>
      <c r="G768" s="146" t="s">
        <v>236</v>
      </c>
    </row>
    <row r="769" customFormat="false" ht="15.75" hidden="false" customHeight="true" outlineLevel="0" collapsed="false">
      <c r="A769" s="144" t="s">
        <v>547</v>
      </c>
      <c r="B769" s="144" t="s">
        <v>719</v>
      </c>
      <c r="C769" s="144"/>
      <c r="D769" s="146" t="s">
        <v>719</v>
      </c>
      <c r="E769" s="145" t="n">
        <v>2000</v>
      </c>
      <c r="F769" s="145" t="n">
        <v>2000</v>
      </c>
      <c r="G769" s="146" t="s">
        <v>236</v>
      </c>
    </row>
    <row r="770" customFormat="false" ht="15.75" hidden="false" customHeight="true" outlineLevel="0" collapsed="false">
      <c r="A770" s="144" t="s">
        <v>1585</v>
      </c>
      <c r="B770" s="144"/>
      <c r="C770" s="144" t="s">
        <v>714</v>
      </c>
      <c r="D770" s="146" t="s">
        <v>714</v>
      </c>
      <c r="E770" s="145" t="n">
        <v>5950</v>
      </c>
      <c r="F770" s="145" t="n">
        <v>10539</v>
      </c>
      <c r="G770" s="146" t="s">
        <v>236</v>
      </c>
    </row>
    <row r="771" customFormat="false" ht="15.75" hidden="false" customHeight="true" outlineLevel="0" collapsed="false">
      <c r="A771" s="144" t="s">
        <v>1586</v>
      </c>
      <c r="B771" s="144"/>
      <c r="C771" s="144" t="s">
        <v>714</v>
      </c>
      <c r="D771" s="146" t="s">
        <v>714</v>
      </c>
      <c r="E771" s="145" t="n">
        <v>5950</v>
      </c>
      <c r="F771" s="145" t="n">
        <v>10539</v>
      </c>
      <c r="G771" s="146" t="s">
        <v>236</v>
      </c>
    </row>
    <row r="772" customFormat="false" ht="15.75" hidden="false" customHeight="true" outlineLevel="0" collapsed="false">
      <c r="A772" s="144" t="s">
        <v>1587</v>
      </c>
      <c r="B772" s="144"/>
      <c r="C772" s="144" t="s">
        <v>630</v>
      </c>
      <c r="D772" s="146" t="s">
        <v>630</v>
      </c>
      <c r="E772" s="145" t="n">
        <v>38</v>
      </c>
      <c r="F772" s="145" t="n">
        <v>96</v>
      </c>
      <c r="G772" s="146" t="s">
        <v>236</v>
      </c>
    </row>
    <row r="773" customFormat="false" ht="15.75" hidden="false" customHeight="true" outlineLevel="0" collapsed="false">
      <c r="A773" s="144" t="s">
        <v>1588</v>
      </c>
      <c r="B773" s="144"/>
      <c r="C773" s="144" t="s">
        <v>714</v>
      </c>
      <c r="D773" s="146" t="s">
        <v>714</v>
      </c>
      <c r="E773" s="145" t="n">
        <v>5950</v>
      </c>
      <c r="F773" s="145" t="n">
        <v>10539</v>
      </c>
      <c r="G773" s="146" t="s">
        <v>236</v>
      </c>
    </row>
    <row r="774" customFormat="false" ht="15.75" hidden="false" customHeight="true" outlineLevel="0" collapsed="false">
      <c r="A774" s="144" t="s">
        <v>1589</v>
      </c>
      <c r="B774" s="144"/>
      <c r="C774" s="144" t="s">
        <v>630</v>
      </c>
      <c r="D774" s="146" t="s">
        <v>630</v>
      </c>
      <c r="E774" s="145" t="n">
        <v>38</v>
      </c>
      <c r="F774" s="145" t="n">
        <v>96</v>
      </c>
      <c r="G774" s="146" t="s">
        <v>236</v>
      </c>
    </row>
    <row r="775" customFormat="false" ht="15.75" hidden="false" customHeight="true" outlineLevel="0" collapsed="false">
      <c r="A775" s="144" t="s">
        <v>1590</v>
      </c>
      <c r="B775" s="144"/>
      <c r="C775" s="144" t="s">
        <v>630</v>
      </c>
      <c r="D775" s="146" t="s">
        <v>630</v>
      </c>
      <c r="E775" s="145" t="n">
        <v>38</v>
      </c>
      <c r="F775" s="145" t="n">
        <v>96</v>
      </c>
      <c r="G775" s="146" t="s">
        <v>236</v>
      </c>
    </row>
    <row r="776" customFormat="false" ht="15.75" hidden="false" customHeight="true" outlineLevel="0" collapsed="false">
      <c r="A776" s="144" t="s">
        <v>1591</v>
      </c>
      <c r="B776" s="144"/>
      <c r="C776" s="144" t="s">
        <v>630</v>
      </c>
      <c r="D776" s="146" t="s">
        <v>630</v>
      </c>
      <c r="E776" s="145" t="n">
        <v>38</v>
      </c>
      <c r="F776" s="145" t="n">
        <v>96</v>
      </c>
      <c r="G776" s="146" t="s">
        <v>236</v>
      </c>
    </row>
    <row r="777" customFormat="false" ht="15.75" hidden="false" customHeight="true" outlineLevel="0" collapsed="false">
      <c r="A777" s="144" t="s">
        <v>1592</v>
      </c>
      <c r="B777" s="144"/>
      <c r="C777" s="144" t="s">
        <v>630</v>
      </c>
      <c r="D777" s="146" t="s">
        <v>630</v>
      </c>
      <c r="E777" s="145" t="n">
        <v>38</v>
      </c>
      <c r="F777" s="145" t="n">
        <v>96</v>
      </c>
      <c r="G777" s="146" t="s">
        <v>236</v>
      </c>
    </row>
    <row r="778" customFormat="false" ht="15.75" hidden="false" customHeight="true" outlineLevel="0" collapsed="false">
      <c r="A778" s="144" t="s">
        <v>1593</v>
      </c>
      <c r="B778" s="144" t="s">
        <v>1594</v>
      </c>
      <c r="C778" s="144"/>
      <c r="D778" s="146" t="s">
        <v>1594</v>
      </c>
      <c r="E778" s="145" t="n">
        <v>900</v>
      </c>
      <c r="F778" s="145" t="n">
        <v>4138</v>
      </c>
      <c r="G778" s="146" t="s">
        <v>236</v>
      </c>
    </row>
    <row r="779" customFormat="false" ht="15.75" hidden="false" customHeight="true" outlineLevel="0" collapsed="false">
      <c r="A779" s="144" t="s">
        <v>1595</v>
      </c>
      <c r="B779" s="144" t="s">
        <v>1596</v>
      </c>
      <c r="C779" s="144"/>
      <c r="D779" s="146" t="s">
        <v>1596</v>
      </c>
      <c r="E779" s="145" t="n">
        <v>50000</v>
      </c>
      <c r="F779" s="145" t="n">
        <v>50000</v>
      </c>
      <c r="G779" s="146" t="s">
        <v>236</v>
      </c>
    </row>
    <row r="780" customFormat="false" ht="15.75" hidden="false" customHeight="true" outlineLevel="0" collapsed="false">
      <c r="A780" s="144" t="s">
        <v>1597</v>
      </c>
      <c r="B780" s="144"/>
      <c r="C780" s="144" t="s">
        <v>630</v>
      </c>
      <c r="D780" s="146" t="s">
        <v>630</v>
      </c>
      <c r="E780" s="145" t="n">
        <v>38</v>
      </c>
      <c r="F780" s="145" t="n">
        <v>96</v>
      </c>
      <c r="G780" s="146" t="s">
        <v>236</v>
      </c>
    </row>
    <row r="781" customFormat="false" ht="15.75" hidden="false" customHeight="true" outlineLevel="0" collapsed="false">
      <c r="A781" s="144" t="s">
        <v>1598</v>
      </c>
      <c r="B781" s="144"/>
      <c r="C781" s="144" t="s">
        <v>630</v>
      </c>
      <c r="D781" s="146" t="s">
        <v>630</v>
      </c>
      <c r="E781" s="145" t="n">
        <v>38</v>
      </c>
      <c r="F781" s="145" t="n">
        <v>96</v>
      </c>
      <c r="G781" s="146" t="s">
        <v>236</v>
      </c>
    </row>
    <row r="782" customFormat="false" ht="15.75" hidden="false" customHeight="true" outlineLevel="0" collapsed="false">
      <c r="A782" s="144" t="s">
        <v>1599</v>
      </c>
      <c r="B782" s="144"/>
      <c r="C782" s="144" t="s">
        <v>630</v>
      </c>
      <c r="D782" s="146" t="s">
        <v>630</v>
      </c>
      <c r="E782" s="145" t="n">
        <v>38</v>
      </c>
      <c r="F782" s="145" t="n">
        <v>96</v>
      </c>
      <c r="G782" s="146" t="s">
        <v>236</v>
      </c>
    </row>
    <row r="783" customFormat="false" ht="15.75" hidden="false" customHeight="true" outlineLevel="0" collapsed="false">
      <c r="A783" s="144" t="s">
        <v>1600</v>
      </c>
      <c r="B783" s="144" t="s">
        <v>1601</v>
      </c>
      <c r="C783" s="144"/>
      <c r="D783" s="146" t="s">
        <v>1601</v>
      </c>
      <c r="E783" s="145" t="n">
        <v>2851</v>
      </c>
      <c r="F783" s="145" t="n">
        <v>2851</v>
      </c>
      <c r="G783" s="146" t="s">
        <v>236</v>
      </c>
    </row>
    <row r="784" customFormat="false" ht="15.75" hidden="false" customHeight="true" outlineLevel="0" collapsed="false">
      <c r="A784" s="144" t="s">
        <v>1602</v>
      </c>
      <c r="B784" s="144"/>
      <c r="C784" s="144" t="s">
        <v>1417</v>
      </c>
      <c r="D784" s="146" t="s">
        <v>1417</v>
      </c>
      <c r="E784" s="145" t="n">
        <v>1155</v>
      </c>
      <c r="F784" s="145" t="n">
        <v>1575</v>
      </c>
      <c r="G784" s="146" t="s">
        <v>236</v>
      </c>
    </row>
    <row r="785" customFormat="false" ht="15.75" hidden="false" customHeight="true" outlineLevel="0" collapsed="false">
      <c r="A785" s="144" t="s">
        <v>1603</v>
      </c>
      <c r="B785" s="144"/>
      <c r="C785" s="144" t="s">
        <v>630</v>
      </c>
      <c r="D785" s="146" t="s">
        <v>630</v>
      </c>
      <c r="E785" s="145" t="n">
        <v>38</v>
      </c>
      <c r="F785" s="145" t="n">
        <v>96</v>
      </c>
      <c r="G785" s="146" t="s">
        <v>236</v>
      </c>
    </row>
    <row r="786" customFormat="false" ht="15.75" hidden="false" customHeight="true" outlineLevel="0" collapsed="false">
      <c r="A786" s="144" t="s">
        <v>1604</v>
      </c>
      <c r="B786" s="144" t="s">
        <v>1605</v>
      </c>
      <c r="C786" s="144"/>
      <c r="D786" s="146" t="s">
        <v>1605</v>
      </c>
      <c r="E786" s="145" t="n">
        <v>33</v>
      </c>
      <c r="F786" s="145" t="n">
        <v>2431</v>
      </c>
      <c r="G786" s="146" t="s">
        <v>236</v>
      </c>
    </row>
    <row r="787" customFormat="false" ht="15.75" hidden="false" customHeight="true" outlineLevel="0" collapsed="false">
      <c r="A787" s="144" t="s">
        <v>1606</v>
      </c>
      <c r="B787" s="144"/>
      <c r="C787" s="144" t="s">
        <v>630</v>
      </c>
      <c r="D787" s="146" t="s">
        <v>630</v>
      </c>
      <c r="E787" s="145" t="n">
        <v>38</v>
      </c>
      <c r="F787" s="145" t="n">
        <v>96</v>
      </c>
      <c r="G787" s="146" t="s">
        <v>236</v>
      </c>
    </row>
    <row r="788" customFormat="false" ht="15.75" hidden="false" customHeight="true" outlineLevel="0" collapsed="false">
      <c r="A788" s="144" t="s">
        <v>1607</v>
      </c>
      <c r="B788" s="144" t="s">
        <v>1608</v>
      </c>
      <c r="C788" s="144"/>
      <c r="D788" s="146" t="s">
        <v>1608</v>
      </c>
      <c r="E788" s="145" t="n">
        <v>40000</v>
      </c>
      <c r="F788" s="145" t="n">
        <v>40000</v>
      </c>
      <c r="G788" s="146" t="s">
        <v>236</v>
      </c>
    </row>
    <row r="789" customFormat="false" ht="15.75" hidden="false" customHeight="true" outlineLevel="0" collapsed="false">
      <c r="A789" s="144" t="s">
        <v>1609</v>
      </c>
      <c r="B789" s="144" t="s">
        <v>1610</v>
      </c>
      <c r="C789" s="144"/>
      <c r="D789" s="146" t="s">
        <v>1610</v>
      </c>
      <c r="E789" s="145" t="n">
        <v>1633</v>
      </c>
      <c r="F789" s="145" t="n">
        <v>1633</v>
      </c>
      <c r="G789" s="146" t="s">
        <v>236</v>
      </c>
    </row>
    <row r="790" customFormat="false" ht="15.75" hidden="false" customHeight="true" outlineLevel="0" collapsed="false">
      <c r="A790" s="144" t="s">
        <v>1611</v>
      </c>
      <c r="B790" s="144" t="s">
        <v>761</v>
      </c>
      <c r="C790" s="144"/>
      <c r="D790" s="146" t="s">
        <v>761</v>
      </c>
      <c r="E790" s="145" t="n">
        <v>1500</v>
      </c>
      <c r="F790" s="145" t="n">
        <v>1500</v>
      </c>
      <c r="G790" s="146" t="s">
        <v>236</v>
      </c>
    </row>
    <row r="791" customFormat="false" ht="15.75" hidden="false" customHeight="true" outlineLevel="0" collapsed="false">
      <c r="A791" s="144" t="s">
        <v>1612</v>
      </c>
      <c r="B791" s="144" t="s">
        <v>735</v>
      </c>
      <c r="C791" s="144"/>
      <c r="D791" s="146" t="s">
        <v>735</v>
      </c>
      <c r="E791" s="145" t="n">
        <v>162</v>
      </c>
      <c r="F791" s="145" t="n">
        <v>349</v>
      </c>
      <c r="G791" s="146" t="s">
        <v>236</v>
      </c>
    </row>
    <row r="792" customFormat="false" ht="15.75" hidden="false" customHeight="true" outlineLevel="0" collapsed="false">
      <c r="A792" s="144" t="s">
        <v>1613</v>
      </c>
      <c r="B792" s="144" t="s">
        <v>1614</v>
      </c>
      <c r="C792" s="144"/>
      <c r="D792" s="146" t="s">
        <v>1614</v>
      </c>
      <c r="E792" s="145" t="n">
        <v>4508</v>
      </c>
      <c r="F792" s="145" t="n">
        <v>19539</v>
      </c>
      <c r="G792" s="146" t="s">
        <v>236</v>
      </c>
    </row>
    <row r="793" customFormat="false" ht="15.75" hidden="false" customHeight="true" outlineLevel="0" collapsed="false">
      <c r="A793" s="144" t="s">
        <v>1615</v>
      </c>
      <c r="B793" s="144"/>
      <c r="C793" s="144" t="s">
        <v>630</v>
      </c>
      <c r="D793" s="146" t="s">
        <v>630</v>
      </c>
      <c r="E793" s="145" t="n">
        <v>38</v>
      </c>
      <c r="F793" s="145" t="n">
        <v>96</v>
      </c>
      <c r="G793" s="146" t="s">
        <v>236</v>
      </c>
    </row>
    <row r="794" customFormat="false" ht="15.75" hidden="false" customHeight="true" outlineLevel="0" collapsed="false">
      <c r="A794" s="144" t="s">
        <v>1616</v>
      </c>
      <c r="B794" s="144"/>
      <c r="C794" s="144" t="s">
        <v>630</v>
      </c>
      <c r="D794" s="146" t="s">
        <v>630</v>
      </c>
      <c r="E794" s="145" t="n">
        <v>38</v>
      </c>
      <c r="F794" s="145" t="n">
        <v>96</v>
      </c>
      <c r="G794" s="146" t="s">
        <v>236</v>
      </c>
    </row>
    <row r="795" customFormat="false" ht="15.75" hidden="false" customHeight="true" outlineLevel="0" collapsed="false">
      <c r="A795" s="144" t="s">
        <v>1617</v>
      </c>
      <c r="B795" s="144"/>
      <c r="C795" s="144" t="s">
        <v>630</v>
      </c>
      <c r="D795" s="146" t="s">
        <v>630</v>
      </c>
      <c r="E795" s="145" t="n">
        <v>38</v>
      </c>
      <c r="F795" s="145" t="n">
        <v>96</v>
      </c>
      <c r="G795" s="146" t="s">
        <v>236</v>
      </c>
    </row>
    <row r="796" customFormat="false" ht="15.75" hidden="false" customHeight="true" outlineLevel="0" collapsed="false">
      <c r="A796" s="144" t="s">
        <v>1618</v>
      </c>
      <c r="B796" s="144"/>
      <c r="C796" s="144" t="s">
        <v>630</v>
      </c>
      <c r="D796" s="146" t="s">
        <v>630</v>
      </c>
      <c r="E796" s="145" t="n">
        <v>38</v>
      </c>
      <c r="F796" s="145" t="n">
        <v>96</v>
      </c>
      <c r="G796" s="146" t="s">
        <v>236</v>
      </c>
    </row>
    <row r="797" customFormat="false" ht="15.75" hidden="false" customHeight="true" outlineLevel="0" collapsed="false">
      <c r="A797" s="144" t="s">
        <v>1619</v>
      </c>
      <c r="B797" s="144"/>
      <c r="C797" s="144" t="s">
        <v>630</v>
      </c>
      <c r="D797" s="146" t="s">
        <v>630</v>
      </c>
      <c r="E797" s="145" t="n">
        <v>38</v>
      </c>
      <c r="F797" s="145" t="n">
        <v>96</v>
      </c>
      <c r="G797" s="146" t="s">
        <v>236</v>
      </c>
    </row>
    <row r="798" customFormat="false" ht="15.75" hidden="false" customHeight="true" outlineLevel="0" collapsed="false">
      <c r="A798" s="144" t="s">
        <v>1620</v>
      </c>
      <c r="B798" s="144"/>
      <c r="C798" s="144" t="s">
        <v>630</v>
      </c>
      <c r="D798" s="146" t="s">
        <v>630</v>
      </c>
      <c r="E798" s="145" t="n">
        <v>38</v>
      </c>
      <c r="F798" s="145" t="n">
        <v>96</v>
      </c>
      <c r="G798" s="146" t="s">
        <v>236</v>
      </c>
    </row>
    <row r="799" customFormat="false" ht="15.75" hidden="false" customHeight="true" outlineLevel="0" collapsed="false">
      <c r="A799" s="144" t="s">
        <v>1621</v>
      </c>
      <c r="B799" s="144"/>
      <c r="C799" s="144" t="s">
        <v>630</v>
      </c>
      <c r="D799" s="146" t="s">
        <v>630</v>
      </c>
      <c r="E799" s="145" t="n">
        <v>38</v>
      </c>
      <c r="F799" s="145" t="n">
        <v>96</v>
      </c>
      <c r="G799" s="146" t="s">
        <v>236</v>
      </c>
    </row>
    <row r="800" customFormat="false" ht="15.75" hidden="false" customHeight="true" outlineLevel="0" collapsed="false">
      <c r="A800" s="144" t="s">
        <v>1622</v>
      </c>
      <c r="B800" s="144"/>
      <c r="C800" s="144" t="s">
        <v>714</v>
      </c>
      <c r="D800" s="146" t="s">
        <v>714</v>
      </c>
      <c r="E800" s="145" t="n">
        <v>5950</v>
      </c>
      <c r="F800" s="145" t="n">
        <v>10539</v>
      </c>
      <c r="G800" s="146" t="s">
        <v>236</v>
      </c>
    </row>
    <row r="801" customFormat="false" ht="15.75" hidden="false" customHeight="true" outlineLevel="0" collapsed="false">
      <c r="A801" s="144" t="s">
        <v>1623</v>
      </c>
      <c r="B801" s="144" t="s">
        <v>1624</v>
      </c>
      <c r="C801" s="144"/>
      <c r="D801" s="146" t="s">
        <v>1624</v>
      </c>
      <c r="E801" s="145" t="n">
        <v>1364</v>
      </c>
      <c r="F801" s="145" t="n">
        <v>1364</v>
      </c>
      <c r="G801" s="146" t="s">
        <v>236</v>
      </c>
    </row>
    <row r="802" customFormat="false" ht="15.75" hidden="false" customHeight="true" outlineLevel="0" collapsed="false">
      <c r="A802" s="144" t="s">
        <v>1625</v>
      </c>
      <c r="B802" s="144"/>
      <c r="C802" s="144" t="s">
        <v>630</v>
      </c>
      <c r="D802" s="146" t="s">
        <v>630</v>
      </c>
      <c r="E802" s="145" t="n">
        <v>38</v>
      </c>
      <c r="F802" s="145" t="n">
        <v>96</v>
      </c>
      <c r="G802" s="146" t="s">
        <v>236</v>
      </c>
    </row>
    <row r="803" customFormat="false" ht="15.75" hidden="false" customHeight="true" outlineLevel="0" collapsed="false">
      <c r="A803" s="144" t="s">
        <v>1626</v>
      </c>
      <c r="B803" s="144" t="s">
        <v>1627</v>
      </c>
      <c r="C803" s="144"/>
      <c r="D803" s="146" t="s">
        <v>1627</v>
      </c>
      <c r="E803" s="145" t="n">
        <v>3333</v>
      </c>
      <c r="F803" s="145" t="n">
        <v>3333</v>
      </c>
      <c r="G803" s="146" t="s">
        <v>236</v>
      </c>
    </row>
    <row r="804" customFormat="false" ht="15.75" hidden="false" customHeight="true" outlineLevel="0" collapsed="false">
      <c r="A804" s="144" t="s">
        <v>1628</v>
      </c>
      <c r="B804" s="144"/>
      <c r="C804" s="144" t="s">
        <v>630</v>
      </c>
      <c r="D804" s="146" t="s">
        <v>630</v>
      </c>
      <c r="E804" s="145" t="n">
        <v>38</v>
      </c>
      <c r="F804" s="145" t="n">
        <v>96</v>
      </c>
      <c r="G804" s="146" t="s">
        <v>236</v>
      </c>
    </row>
    <row r="805" customFormat="false" ht="15.75" hidden="false" customHeight="true" outlineLevel="0" collapsed="false">
      <c r="A805" s="144" t="s">
        <v>1629</v>
      </c>
      <c r="B805" s="144"/>
      <c r="C805" s="144" t="s">
        <v>630</v>
      </c>
      <c r="D805" s="146" t="s">
        <v>630</v>
      </c>
      <c r="E805" s="145" t="n">
        <v>38</v>
      </c>
      <c r="F805" s="145" t="n">
        <v>96</v>
      </c>
      <c r="G805" s="146" t="s">
        <v>236</v>
      </c>
    </row>
    <row r="806" customFormat="false" ht="15.75" hidden="false" customHeight="true" outlineLevel="0" collapsed="false">
      <c r="A806" s="144" t="s">
        <v>1630</v>
      </c>
      <c r="B806" s="144" t="s">
        <v>1631</v>
      </c>
      <c r="C806" s="144"/>
      <c r="D806" s="146" t="s">
        <v>1631</v>
      </c>
      <c r="E806" s="145" t="n">
        <v>832</v>
      </c>
      <c r="F806" s="145" t="n">
        <v>832</v>
      </c>
      <c r="G806" s="146" t="s">
        <v>236</v>
      </c>
    </row>
    <row r="807" customFormat="false" ht="15.75" hidden="false" customHeight="true" outlineLevel="0" collapsed="false">
      <c r="A807" s="144" t="s">
        <v>1632</v>
      </c>
      <c r="B807" s="144"/>
      <c r="C807" s="144" t="s">
        <v>630</v>
      </c>
      <c r="D807" s="146" t="s">
        <v>630</v>
      </c>
      <c r="E807" s="145" t="n">
        <v>38</v>
      </c>
      <c r="F807" s="145" t="n">
        <v>96</v>
      </c>
      <c r="G807" s="146" t="s">
        <v>236</v>
      </c>
    </row>
    <row r="808" customFormat="false" ht="15.75" hidden="false" customHeight="true" outlineLevel="0" collapsed="false">
      <c r="A808" s="144" t="s">
        <v>1633</v>
      </c>
      <c r="B808" s="144"/>
      <c r="C808" s="144" t="s">
        <v>630</v>
      </c>
      <c r="D808" s="146" t="s">
        <v>630</v>
      </c>
      <c r="E808" s="145" t="n">
        <v>38</v>
      </c>
      <c r="F808" s="145" t="n">
        <v>96</v>
      </c>
      <c r="G808" s="146" t="s">
        <v>236</v>
      </c>
    </row>
    <row r="809" customFormat="false" ht="15.75" hidden="false" customHeight="true" outlineLevel="0" collapsed="false">
      <c r="A809" s="144" t="s">
        <v>1634</v>
      </c>
      <c r="B809" s="144"/>
      <c r="C809" s="144" t="s">
        <v>630</v>
      </c>
      <c r="D809" s="146" t="s">
        <v>630</v>
      </c>
      <c r="E809" s="145" t="n">
        <v>38</v>
      </c>
      <c r="F809" s="145" t="n">
        <v>96</v>
      </c>
      <c r="G809" s="146" t="s">
        <v>236</v>
      </c>
    </row>
    <row r="810" customFormat="false" ht="15.75" hidden="false" customHeight="true" outlineLevel="0" collapsed="false">
      <c r="A810" s="144" t="s">
        <v>1635</v>
      </c>
      <c r="B810" s="144"/>
      <c r="C810" s="144" t="s">
        <v>630</v>
      </c>
      <c r="D810" s="146" t="s">
        <v>630</v>
      </c>
      <c r="E810" s="145" t="n">
        <v>38</v>
      </c>
      <c r="F810" s="145" t="n">
        <v>96</v>
      </c>
      <c r="G810" s="146" t="s">
        <v>236</v>
      </c>
    </row>
    <row r="811" customFormat="false" ht="15.75" hidden="false" customHeight="true" outlineLevel="0" collapsed="false">
      <c r="A811" s="144" t="s">
        <v>1636</v>
      </c>
      <c r="B811" s="144"/>
      <c r="C811" s="144" t="s">
        <v>630</v>
      </c>
      <c r="D811" s="146" t="s">
        <v>630</v>
      </c>
      <c r="E811" s="145" t="n">
        <v>38</v>
      </c>
      <c r="F811" s="145" t="n">
        <v>96</v>
      </c>
      <c r="G811" s="146" t="s">
        <v>236</v>
      </c>
    </row>
    <row r="812" customFormat="false" ht="15.75" hidden="false" customHeight="true" outlineLevel="0" collapsed="false">
      <c r="A812" s="144" t="s">
        <v>1637</v>
      </c>
      <c r="B812" s="144"/>
      <c r="C812" s="144" t="s">
        <v>630</v>
      </c>
      <c r="D812" s="146" t="s">
        <v>630</v>
      </c>
      <c r="E812" s="145" t="n">
        <v>38</v>
      </c>
      <c r="F812" s="145" t="n">
        <v>96</v>
      </c>
      <c r="G812" s="146" t="s">
        <v>236</v>
      </c>
    </row>
    <row r="813" customFormat="false" ht="15.75" hidden="false" customHeight="true" outlineLevel="0" collapsed="false">
      <c r="A813" s="144" t="s">
        <v>1638</v>
      </c>
      <c r="B813" s="144"/>
      <c r="C813" s="144" t="s">
        <v>630</v>
      </c>
      <c r="D813" s="146" t="s">
        <v>630</v>
      </c>
      <c r="E813" s="145" t="n">
        <v>38</v>
      </c>
      <c r="F813" s="145" t="n">
        <v>96</v>
      </c>
      <c r="G813" s="146" t="s">
        <v>236</v>
      </c>
    </row>
    <row r="814" customFormat="false" ht="15.75" hidden="false" customHeight="true" outlineLevel="0" collapsed="false">
      <c r="A814" s="144" t="s">
        <v>1639</v>
      </c>
      <c r="B814" s="144"/>
      <c r="C814" s="144" t="s">
        <v>630</v>
      </c>
      <c r="D814" s="146" t="s">
        <v>630</v>
      </c>
      <c r="E814" s="145" t="n">
        <v>38</v>
      </c>
      <c r="F814" s="145" t="n">
        <v>96</v>
      </c>
      <c r="G814" s="146" t="s">
        <v>236</v>
      </c>
    </row>
    <row r="815" customFormat="false" ht="15.75" hidden="false" customHeight="true" outlineLevel="0" collapsed="false">
      <c r="A815" s="144" t="s">
        <v>1640</v>
      </c>
      <c r="B815" s="144" t="s">
        <v>1641</v>
      </c>
      <c r="C815" s="144"/>
      <c r="D815" s="146" t="s">
        <v>1641</v>
      </c>
      <c r="E815" s="145" t="n">
        <v>160</v>
      </c>
      <c r="F815" s="145" t="n">
        <v>600</v>
      </c>
      <c r="G815" s="146" t="s">
        <v>236</v>
      </c>
    </row>
    <row r="816" customFormat="false" ht="15.75" hidden="false" customHeight="true" outlineLevel="0" collapsed="false">
      <c r="A816" s="144" t="s">
        <v>1642</v>
      </c>
      <c r="B816" s="144"/>
      <c r="C816" s="144" t="s">
        <v>714</v>
      </c>
      <c r="D816" s="146" t="s">
        <v>714</v>
      </c>
      <c r="E816" s="145" t="n">
        <v>5950</v>
      </c>
      <c r="F816" s="145" t="n">
        <v>10539</v>
      </c>
      <c r="G816" s="146" t="s">
        <v>236</v>
      </c>
    </row>
    <row r="817" customFormat="false" ht="15.75" hidden="false" customHeight="true" outlineLevel="0" collapsed="false">
      <c r="A817" s="144" t="s">
        <v>1643</v>
      </c>
      <c r="B817" s="144" t="s">
        <v>1644</v>
      </c>
      <c r="C817" s="144"/>
      <c r="D817" s="146" t="s">
        <v>1644</v>
      </c>
      <c r="E817" s="145" t="n">
        <v>2268</v>
      </c>
      <c r="F817" s="145" t="n">
        <v>2268</v>
      </c>
      <c r="G817" s="146" t="s">
        <v>236</v>
      </c>
    </row>
    <row r="818" customFormat="false" ht="15.75" hidden="false" customHeight="true" outlineLevel="0" collapsed="false">
      <c r="A818" s="144" t="s">
        <v>1645</v>
      </c>
      <c r="B818" s="144"/>
      <c r="C818" s="144" t="s">
        <v>630</v>
      </c>
      <c r="D818" s="146" t="s">
        <v>630</v>
      </c>
      <c r="E818" s="145" t="n">
        <v>38</v>
      </c>
      <c r="F818" s="145" t="n">
        <v>96</v>
      </c>
      <c r="G818" s="146" t="s">
        <v>236</v>
      </c>
    </row>
    <row r="819" customFormat="false" ht="15.75" hidden="false" customHeight="true" outlineLevel="0" collapsed="false">
      <c r="A819" s="144" t="s">
        <v>1646</v>
      </c>
      <c r="B819" s="144"/>
      <c r="C819" s="144" t="s">
        <v>630</v>
      </c>
      <c r="D819" s="146" t="s">
        <v>630</v>
      </c>
      <c r="E819" s="145" t="n">
        <v>38</v>
      </c>
      <c r="F819" s="145" t="n">
        <v>96</v>
      </c>
      <c r="G819" s="146" t="s">
        <v>236</v>
      </c>
    </row>
    <row r="820" customFormat="false" ht="15.75" hidden="false" customHeight="true" outlineLevel="0" collapsed="false">
      <c r="A820" s="144" t="s">
        <v>1647</v>
      </c>
      <c r="B820" s="144"/>
      <c r="C820" s="144" t="s">
        <v>714</v>
      </c>
      <c r="D820" s="146" t="s">
        <v>714</v>
      </c>
      <c r="E820" s="145" t="n">
        <v>5950</v>
      </c>
      <c r="F820" s="145" t="n">
        <v>10539</v>
      </c>
      <c r="G820" s="146" t="s">
        <v>236</v>
      </c>
    </row>
    <row r="821" customFormat="false" ht="15.75" hidden="false" customHeight="true" outlineLevel="0" collapsed="false">
      <c r="A821" s="144" t="s">
        <v>1648</v>
      </c>
      <c r="B821" s="144" t="s">
        <v>1417</v>
      </c>
      <c r="C821" s="144"/>
      <c r="D821" s="146" t="s">
        <v>1417</v>
      </c>
      <c r="E821" s="145" t="n">
        <v>1155</v>
      </c>
      <c r="F821" s="145" t="n">
        <v>1575</v>
      </c>
      <c r="G821" s="146" t="s">
        <v>236</v>
      </c>
    </row>
    <row r="822" customFormat="false" ht="15.75" hidden="false" customHeight="true" outlineLevel="0" collapsed="false">
      <c r="A822" s="144" t="s">
        <v>1649</v>
      </c>
      <c r="B822" s="144" t="s">
        <v>1650</v>
      </c>
      <c r="C822" s="144"/>
      <c r="D822" s="146" t="s">
        <v>1650</v>
      </c>
      <c r="E822" s="145" t="n">
        <v>509</v>
      </c>
      <c r="F822" s="145" t="n">
        <v>511</v>
      </c>
      <c r="G822" s="146" t="s">
        <v>236</v>
      </c>
    </row>
    <row r="823" customFormat="false" ht="15.75" hidden="false" customHeight="true" outlineLevel="0" collapsed="false">
      <c r="A823" s="144" t="s">
        <v>1651</v>
      </c>
      <c r="B823" s="144"/>
      <c r="C823" s="144" t="s">
        <v>630</v>
      </c>
      <c r="D823" s="146" t="s">
        <v>630</v>
      </c>
      <c r="E823" s="145" t="n">
        <v>38</v>
      </c>
      <c r="F823" s="145" t="n">
        <v>96</v>
      </c>
      <c r="G823" s="146" t="s">
        <v>236</v>
      </c>
    </row>
    <row r="824" customFormat="false" ht="15.75" hidden="false" customHeight="true" outlineLevel="0" collapsed="false">
      <c r="A824" s="144" t="s">
        <v>1652</v>
      </c>
      <c r="B824" s="144"/>
      <c r="C824" s="144" t="s">
        <v>630</v>
      </c>
      <c r="D824" s="146" t="s">
        <v>630</v>
      </c>
      <c r="E824" s="145" t="n">
        <v>38</v>
      </c>
      <c r="F824" s="145" t="n">
        <v>96</v>
      </c>
      <c r="G824" s="146" t="s">
        <v>236</v>
      </c>
    </row>
    <row r="825" customFormat="false" ht="15.75" hidden="false" customHeight="true" outlineLevel="0" collapsed="false">
      <c r="A825" s="144" t="s">
        <v>1653</v>
      </c>
      <c r="B825" s="144" t="s">
        <v>1654</v>
      </c>
      <c r="C825" s="144"/>
      <c r="D825" s="146" t="s">
        <v>1654</v>
      </c>
      <c r="E825" s="145" t="n">
        <v>65</v>
      </c>
      <c r="F825" s="145" t="n">
        <v>280</v>
      </c>
      <c r="G825" s="146" t="s">
        <v>236</v>
      </c>
    </row>
    <row r="826" customFormat="false" ht="15.75" hidden="false" customHeight="true" outlineLevel="0" collapsed="false">
      <c r="A826" s="144" t="s">
        <v>1655</v>
      </c>
      <c r="B826" s="144"/>
      <c r="C826" s="144" t="s">
        <v>630</v>
      </c>
      <c r="D826" s="146" t="s">
        <v>630</v>
      </c>
      <c r="E826" s="145" t="n">
        <v>38</v>
      </c>
      <c r="F826" s="145" t="n">
        <v>96</v>
      </c>
      <c r="G826" s="146" t="s">
        <v>236</v>
      </c>
    </row>
    <row r="827" customFormat="false" ht="15.75" hidden="false" customHeight="true" outlineLevel="0" collapsed="false">
      <c r="A827" s="144" t="s">
        <v>1656</v>
      </c>
      <c r="B827" s="144" t="s">
        <v>719</v>
      </c>
      <c r="C827" s="144"/>
      <c r="D827" s="146" t="s">
        <v>719</v>
      </c>
      <c r="E827" s="145" t="n">
        <v>2000</v>
      </c>
      <c r="F827" s="145" t="n">
        <v>2000</v>
      </c>
      <c r="G827" s="146" t="s">
        <v>236</v>
      </c>
    </row>
    <row r="828" customFormat="false" ht="15.75" hidden="false" customHeight="true" outlineLevel="0" collapsed="false">
      <c r="A828" s="144" t="s">
        <v>1657</v>
      </c>
      <c r="B828" s="144" t="s">
        <v>1658</v>
      </c>
      <c r="C828" s="144"/>
      <c r="D828" s="146" t="s">
        <v>1658</v>
      </c>
      <c r="E828" s="145" t="n">
        <v>6752</v>
      </c>
      <c r="F828" s="145" t="n">
        <v>6752</v>
      </c>
      <c r="G828" s="146" t="s">
        <v>236</v>
      </c>
    </row>
    <row r="829" customFormat="false" ht="15.75" hidden="false" customHeight="true" outlineLevel="0" collapsed="false">
      <c r="A829" s="144" t="s">
        <v>1659</v>
      </c>
      <c r="B829" s="144"/>
      <c r="C829" s="144" t="s">
        <v>630</v>
      </c>
      <c r="D829" s="146" t="s">
        <v>630</v>
      </c>
      <c r="E829" s="145" t="n">
        <v>38</v>
      </c>
      <c r="F829" s="145" t="n">
        <v>96</v>
      </c>
      <c r="G829" s="146" t="s">
        <v>236</v>
      </c>
    </row>
    <row r="830" customFormat="false" ht="15.75" hidden="false" customHeight="true" outlineLevel="0" collapsed="false">
      <c r="A830" s="144" t="s">
        <v>1660</v>
      </c>
      <c r="B830" s="144"/>
      <c r="C830" s="144" t="s">
        <v>630</v>
      </c>
      <c r="D830" s="146" t="s">
        <v>630</v>
      </c>
      <c r="E830" s="145" t="n">
        <v>38</v>
      </c>
      <c r="F830" s="145" t="n">
        <v>96</v>
      </c>
      <c r="G830" s="146" t="s">
        <v>236</v>
      </c>
    </row>
    <row r="831" customFormat="false" ht="15.75" hidden="false" customHeight="true" outlineLevel="0" collapsed="false">
      <c r="A831" s="144" t="s">
        <v>1661</v>
      </c>
      <c r="B831" s="144"/>
      <c r="C831" s="144" t="s">
        <v>630</v>
      </c>
      <c r="D831" s="146" t="s">
        <v>630</v>
      </c>
      <c r="E831" s="145" t="n">
        <v>38</v>
      </c>
      <c r="F831" s="145" t="n">
        <v>96</v>
      </c>
      <c r="G831" s="146" t="s">
        <v>236</v>
      </c>
    </row>
    <row r="832" customFormat="false" ht="15.75" hidden="false" customHeight="true" outlineLevel="0" collapsed="false">
      <c r="A832" s="144" t="s">
        <v>1662</v>
      </c>
      <c r="B832" s="144"/>
      <c r="C832" s="144" t="s">
        <v>630</v>
      </c>
      <c r="D832" s="146" t="s">
        <v>630</v>
      </c>
      <c r="E832" s="145" t="n">
        <v>38</v>
      </c>
      <c r="F832" s="145" t="n">
        <v>96</v>
      </c>
      <c r="G832" s="146" t="s">
        <v>236</v>
      </c>
    </row>
    <row r="833" customFormat="false" ht="15.75" hidden="false" customHeight="true" outlineLevel="0" collapsed="false">
      <c r="A833" s="144" t="s">
        <v>1663</v>
      </c>
      <c r="B833" s="144"/>
      <c r="C833" s="144" t="s">
        <v>714</v>
      </c>
      <c r="D833" s="146" t="s">
        <v>714</v>
      </c>
      <c r="E833" s="145" t="n">
        <v>5950</v>
      </c>
      <c r="F833" s="145" t="n">
        <v>10539</v>
      </c>
      <c r="G833" s="146" t="s">
        <v>236</v>
      </c>
    </row>
    <row r="834" customFormat="false" ht="15.75" hidden="false" customHeight="true" outlineLevel="0" collapsed="false">
      <c r="A834" s="144" t="s">
        <v>1664</v>
      </c>
      <c r="B834" s="144"/>
      <c r="C834" s="144" t="s">
        <v>630</v>
      </c>
      <c r="D834" s="146" t="s">
        <v>630</v>
      </c>
      <c r="E834" s="145" t="n">
        <v>38</v>
      </c>
      <c r="F834" s="145" t="n">
        <v>96</v>
      </c>
      <c r="G834" s="146" t="s">
        <v>236</v>
      </c>
    </row>
    <row r="835" customFormat="false" ht="15.75" hidden="false" customHeight="true" outlineLevel="0" collapsed="false">
      <c r="A835" s="144" t="s">
        <v>1665</v>
      </c>
      <c r="B835" s="144" t="s">
        <v>1666</v>
      </c>
      <c r="C835" s="144"/>
      <c r="D835" s="146" t="s">
        <v>1666</v>
      </c>
      <c r="E835" s="145" t="n">
        <v>19</v>
      </c>
      <c r="F835" s="145" t="n">
        <v>298</v>
      </c>
      <c r="G835" s="146" t="s">
        <v>236</v>
      </c>
    </row>
    <row r="836" customFormat="false" ht="15.75" hidden="false" customHeight="true" outlineLevel="0" collapsed="false">
      <c r="A836" s="144" t="s">
        <v>1667</v>
      </c>
      <c r="B836" s="144"/>
      <c r="C836" s="144" t="s">
        <v>714</v>
      </c>
      <c r="D836" s="146" t="s">
        <v>714</v>
      </c>
      <c r="E836" s="145" t="n">
        <v>5950</v>
      </c>
      <c r="F836" s="145" t="n">
        <v>10539</v>
      </c>
      <c r="G836" s="146" t="s">
        <v>236</v>
      </c>
    </row>
    <row r="837" customFormat="false" ht="15.75" hidden="false" customHeight="true" outlineLevel="0" collapsed="false">
      <c r="A837" s="144" t="s">
        <v>1668</v>
      </c>
      <c r="B837" s="144"/>
      <c r="C837" s="144" t="s">
        <v>630</v>
      </c>
      <c r="D837" s="146" t="s">
        <v>630</v>
      </c>
      <c r="E837" s="145" t="n">
        <v>38</v>
      </c>
      <c r="F837" s="145" t="n">
        <v>96</v>
      </c>
      <c r="G837" s="146" t="s">
        <v>236</v>
      </c>
    </row>
    <row r="838" customFormat="false" ht="15.75" hidden="false" customHeight="true" outlineLevel="0" collapsed="false">
      <c r="A838" s="144" t="s">
        <v>1669</v>
      </c>
      <c r="B838" s="144" t="s">
        <v>1670</v>
      </c>
      <c r="C838" s="144"/>
      <c r="D838" s="146" t="s">
        <v>1670</v>
      </c>
      <c r="E838" s="145" t="n">
        <v>436</v>
      </c>
      <c r="F838" s="145" t="n">
        <v>436</v>
      </c>
      <c r="G838" s="146" t="s">
        <v>236</v>
      </c>
    </row>
    <row r="839" customFormat="false" ht="15.75" hidden="false" customHeight="true" outlineLevel="0" collapsed="false">
      <c r="A839" s="144" t="s">
        <v>1671</v>
      </c>
      <c r="B839" s="144"/>
      <c r="C839" s="144" t="s">
        <v>630</v>
      </c>
      <c r="D839" s="146" t="s">
        <v>630</v>
      </c>
      <c r="E839" s="145" t="n">
        <v>38</v>
      </c>
      <c r="F839" s="145" t="n">
        <v>96</v>
      </c>
      <c r="G839" s="146" t="s">
        <v>236</v>
      </c>
    </row>
    <row r="840" customFormat="false" ht="15.75" hidden="false" customHeight="true" outlineLevel="0" collapsed="false">
      <c r="A840" s="144" t="s">
        <v>1672</v>
      </c>
      <c r="B840" s="144"/>
      <c r="C840" s="144" t="s">
        <v>630</v>
      </c>
      <c r="D840" s="146" t="s">
        <v>630</v>
      </c>
      <c r="E840" s="145" t="n">
        <v>38</v>
      </c>
      <c r="F840" s="145" t="n">
        <v>96</v>
      </c>
      <c r="G840" s="146" t="s">
        <v>236</v>
      </c>
    </row>
    <row r="841" customFormat="false" ht="15.75" hidden="false" customHeight="true" outlineLevel="0" collapsed="false">
      <c r="A841" s="144" t="s">
        <v>1673</v>
      </c>
      <c r="B841" s="144"/>
      <c r="C841" s="144" t="s">
        <v>630</v>
      </c>
      <c r="D841" s="146" t="s">
        <v>630</v>
      </c>
      <c r="E841" s="145" t="n">
        <v>38</v>
      </c>
      <c r="F841" s="145" t="n">
        <v>96</v>
      </c>
      <c r="G841" s="146" t="s">
        <v>236</v>
      </c>
    </row>
    <row r="842" customFormat="false" ht="15.75" hidden="false" customHeight="true" outlineLevel="0" collapsed="false">
      <c r="A842" s="144" t="s">
        <v>1674</v>
      </c>
      <c r="B842" s="144"/>
      <c r="C842" s="144" t="s">
        <v>630</v>
      </c>
      <c r="D842" s="146" t="s">
        <v>630</v>
      </c>
      <c r="E842" s="145" t="n">
        <v>38</v>
      </c>
      <c r="F842" s="145" t="n">
        <v>96</v>
      </c>
      <c r="G842" s="146" t="s">
        <v>236</v>
      </c>
    </row>
    <row r="843" customFormat="false" ht="15.75" hidden="false" customHeight="true" outlineLevel="0" collapsed="false">
      <c r="A843" s="144" t="s">
        <v>1675</v>
      </c>
      <c r="B843" s="144"/>
      <c r="C843" s="144" t="s">
        <v>630</v>
      </c>
      <c r="D843" s="146" t="s">
        <v>630</v>
      </c>
      <c r="E843" s="145" t="n">
        <v>38</v>
      </c>
      <c r="F843" s="145" t="n">
        <v>96</v>
      </c>
      <c r="G843" s="146" t="s">
        <v>236</v>
      </c>
    </row>
    <row r="844" customFormat="false" ht="15.75" hidden="false" customHeight="true" outlineLevel="0" collapsed="false">
      <c r="A844" s="144" t="s">
        <v>1676</v>
      </c>
      <c r="B844" s="144"/>
      <c r="C844" s="144" t="s">
        <v>630</v>
      </c>
      <c r="D844" s="146" t="s">
        <v>630</v>
      </c>
      <c r="E844" s="145" t="n">
        <v>38</v>
      </c>
      <c r="F844" s="145" t="n">
        <v>96</v>
      </c>
      <c r="G844" s="146" t="s">
        <v>236</v>
      </c>
    </row>
    <row r="845" customFormat="false" ht="15.75" hidden="false" customHeight="true" outlineLevel="0" collapsed="false">
      <c r="A845" s="144" t="s">
        <v>1677</v>
      </c>
      <c r="B845" s="144" t="s">
        <v>570</v>
      </c>
      <c r="C845" s="144"/>
      <c r="D845" s="146" t="s">
        <v>570</v>
      </c>
      <c r="E845" s="145" t="n">
        <v>1000</v>
      </c>
      <c r="F845" s="145" t="n">
        <v>1000</v>
      </c>
      <c r="G845" s="146" t="s">
        <v>236</v>
      </c>
    </row>
    <row r="846" customFormat="false" ht="15.75" hidden="false" customHeight="true" outlineLevel="0" collapsed="false">
      <c r="A846" s="144" t="s">
        <v>1678</v>
      </c>
      <c r="B846" s="144"/>
      <c r="C846" s="144" t="s">
        <v>630</v>
      </c>
      <c r="D846" s="146" t="s">
        <v>630</v>
      </c>
      <c r="E846" s="145" t="n">
        <v>38</v>
      </c>
      <c r="F846" s="145" t="n">
        <v>96</v>
      </c>
      <c r="G846" s="146" t="s">
        <v>236</v>
      </c>
    </row>
    <row r="847" customFormat="false" ht="15.75" hidden="false" customHeight="true" outlineLevel="0" collapsed="false">
      <c r="A847" s="144" t="s">
        <v>1679</v>
      </c>
      <c r="B847" s="144" t="s">
        <v>1680</v>
      </c>
      <c r="C847" s="144"/>
      <c r="D847" s="146" t="s">
        <v>1680</v>
      </c>
      <c r="E847" s="145" t="n">
        <v>924</v>
      </c>
      <c r="F847" s="145" t="n">
        <v>924</v>
      </c>
      <c r="G847" s="146" t="s">
        <v>236</v>
      </c>
    </row>
    <row r="848" customFormat="false" ht="15.75" hidden="false" customHeight="true" outlineLevel="0" collapsed="false">
      <c r="A848" s="144" t="s">
        <v>1681</v>
      </c>
      <c r="B848" s="144"/>
      <c r="C848" s="144" t="s">
        <v>630</v>
      </c>
      <c r="D848" s="146" t="s">
        <v>630</v>
      </c>
      <c r="E848" s="145" t="n">
        <v>38</v>
      </c>
      <c r="F848" s="145" t="n">
        <v>96</v>
      </c>
      <c r="G848" s="146" t="s">
        <v>236</v>
      </c>
    </row>
    <row r="849" customFormat="false" ht="15.75" hidden="false" customHeight="true" outlineLevel="0" collapsed="false">
      <c r="A849" s="144" t="s">
        <v>1682</v>
      </c>
      <c r="B849" s="144"/>
      <c r="C849" s="144" t="s">
        <v>630</v>
      </c>
      <c r="D849" s="146" t="s">
        <v>630</v>
      </c>
      <c r="E849" s="145" t="n">
        <v>38</v>
      </c>
      <c r="F849" s="145" t="n">
        <v>96</v>
      </c>
      <c r="G849" s="146" t="s">
        <v>236</v>
      </c>
    </row>
    <row r="850" customFormat="false" ht="15.75" hidden="false" customHeight="true" outlineLevel="0" collapsed="false">
      <c r="A850" s="144" t="s">
        <v>1683</v>
      </c>
      <c r="B850" s="144"/>
      <c r="C850" s="144" t="s">
        <v>630</v>
      </c>
      <c r="D850" s="146" t="s">
        <v>630</v>
      </c>
      <c r="E850" s="145" t="n">
        <v>38</v>
      </c>
      <c r="F850" s="145" t="n">
        <v>96</v>
      </c>
      <c r="G850" s="146" t="s">
        <v>236</v>
      </c>
    </row>
    <row r="851" customFormat="false" ht="15.75" hidden="false" customHeight="true" outlineLevel="0" collapsed="false">
      <c r="A851" s="144" t="s">
        <v>1684</v>
      </c>
      <c r="B851" s="144"/>
      <c r="C851" s="144" t="s">
        <v>630</v>
      </c>
      <c r="D851" s="146" t="s">
        <v>630</v>
      </c>
      <c r="E851" s="145" t="n">
        <v>38</v>
      </c>
      <c r="F851" s="145" t="n">
        <v>96</v>
      </c>
      <c r="G851" s="146" t="s">
        <v>236</v>
      </c>
    </row>
    <row r="852" customFormat="false" ht="15.75" hidden="false" customHeight="true" outlineLevel="0" collapsed="false">
      <c r="A852" s="144" t="s">
        <v>1685</v>
      </c>
      <c r="B852" s="144"/>
      <c r="C852" s="144" t="s">
        <v>630</v>
      </c>
      <c r="D852" s="146" t="s">
        <v>630</v>
      </c>
      <c r="E852" s="145" t="n">
        <v>38</v>
      </c>
      <c r="F852" s="145" t="n">
        <v>96</v>
      </c>
      <c r="G852" s="146" t="s">
        <v>236</v>
      </c>
    </row>
    <row r="853" customFormat="false" ht="15.75" hidden="false" customHeight="true" outlineLevel="0" collapsed="false">
      <c r="A853" s="144" t="s">
        <v>1686</v>
      </c>
      <c r="B853" s="144"/>
      <c r="C853" s="144" t="s">
        <v>630</v>
      </c>
      <c r="D853" s="146" t="s">
        <v>630</v>
      </c>
      <c r="E853" s="145" t="n">
        <v>38</v>
      </c>
      <c r="F853" s="145" t="n">
        <v>96</v>
      </c>
      <c r="G853" s="146" t="s">
        <v>236</v>
      </c>
    </row>
    <row r="854" customFormat="false" ht="15.75" hidden="false" customHeight="true" outlineLevel="0" collapsed="false">
      <c r="A854" s="144" t="s">
        <v>1687</v>
      </c>
      <c r="B854" s="144"/>
      <c r="C854" s="144" t="s">
        <v>630</v>
      </c>
      <c r="D854" s="146" t="s">
        <v>630</v>
      </c>
      <c r="E854" s="145" t="n">
        <v>38</v>
      </c>
      <c r="F854" s="145" t="n">
        <v>96</v>
      </c>
      <c r="G854" s="146" t="s">
        <v>236</v>
      </c>
    </row>
    <row r="855" customFormat="false" ht="15.75" hidden="false" customHeight="true" outlineLevel="0" collapsed="false">
      <c r="A855" s="144" t="s">
        <v>1688</v>
      </c>
      <c r="B855" s="144"/>
      <c r="C855" s="144" t="s">
        <v>630</v>
      </c>
      <c r="D855" s="146" t="s">
        <v>630</v>
      </c>
      <c r="E855" s="145" t="n">
        <v>38</v>
      </c>
      <c r="F855" s="145" t="n">
        <v>96</v>
      </c>
      <c r="G855" s="146" t="s">
        <v>236</v>
      </c>
    </row>
    <row r="856" customFormat="false" ht="15.75" hidden="false" customHeight="true" outlineLevel="0" collapsed="false">
      <c r="A856" s="144" t="s">
        <v>1689</v>
      </c>
      <c r="B856" s="144"/>
      <c r="C856" s="144" t="s">
        <v>630</v>
      </c>
      <c r="D856" s="146" t="s">
        <v>630</v>
      </c>
      <c r="E856" s="145" t="n">
        <v>38</v>
      </c>
      <c r="F856" s="145" t="n">
        <v>96</v>
      </c>
      <c r="G856" s="146" t="s">
        <v>236</v>
      </c>
    </row>
    <row r="857" customFormat="false" ht="15.75" hidden="false" customHeight="true" outlineLevel="0" collapsed="false">
      <c r="A857" s="144" t="s">
        <v>1690</v>
      </c>
      <c r="B857" s="144" t="s">
        <v>654</v>
      </c>
      <c r="C857" s="144"/>
      <c r="D857" s="146" t="s">
        <v>654</v>
      </c>
      <c r="E857" s="145" t="n">
        <v>120</v>
      </c>
      <c r="F857" s="145" t="n">
        <v>183</v>
      </c>
      <c r="G857" s="146" t="s">
        <v>236</v>
      </c>
    </row>
    <row r="858" customFormat="false" ht="15.75" hidden="false" customHeight="true" outlineLevel="0" collapsed="false">
      <c r="A858" s="144" t="s">
        <v>1691</v>
      </c>
      <c r="B858" s="144"/>
      <c r="C858" s="144" t="s">
        <v>630</v>
      </c>
      <c r="D858" s="146" t="s">
        <v>630</v>
      </c>
      <c r="E858" s="145" t="n">
        <v>38</v>
      </c>
      <c r="F858" s="145" t="n">
        <v>96</v>
      </c>
      <c r="G858" s="146" t="s">
        <v>236</v>
      </c>
    </row>
    <row r="859" customFormat="false" ht="15.75" hidden="false" customHeight="true" outlineLevel="0" collapsed="false">
      <c r="A859" s="144" t="s">
        <v>1692</v>
      </c>
      <c r="B859" s="144" t="s">
        <v>1693</v>
      </c>
      <c r="C859" s="144"/>
      <c r="D859" s="146" t="s">
        <v>1693</v>
      </c>
      <c r="E859" s="145" t="n">
        <v>27215</v>
      </c>
      <c r="F859" s="145" t="n">
        <v>27215</v>
      </c>
      <c r="G859" s="146" t="s">
        <v>236</v>
      </c>
    </row>
    <row r="860" customFormat="false" ht="15.75" hidden="false" customHeight="true" outlineLevel="0" collapsed="false">
      <c r="A860" s="144" t="s">
        <v>1694</v>
      </c>
      <c r="B860" s="144"/>
      <c r="C860" s="144" t="s">
        <v>630</v>
      </c>
      <c r="D860" s="146" t="s">
        <v>630</v>
      </c>
      <c r="E860" s="145" t="n">
        <v>38</v>
      </c>
      <c r="F860" s="145" t="n">
        <v>96</v>
      </c>
      <c r="G860" s="146" t="s">
        <v>236</v>
      </c>
    </row>
    <row r="861" customFormat="false" ht="15.75" hidden="false" customHeight="true" outlineLevel="0" collapsed="false">
      <c r="A861" s="144" t="s">
        <v>1695</v>
      </c>
      <c r="B861" s="144"/>
      <c r="C861" s="144" t="s">
        <v>630</v>
      </c>
      <c r="D861" s="146" t="s">
        <v>630</v>
      </c>
      <c r="E861" s="145" t="n">
        <v>38</v>
      </c>
      <c r="F861" s="145" t="n">
        <v>96</v>
      </c>
      <c r="G861" s="146" t="s">
        <v>236</v>
      </c>
    </row>
    <row r="862" customFormat="false" ht="15.75" hidden="false" customHeight="true" outlineLevel="0" collapsed="false">
      <c r="A862" s="144" t="s">
        <v>1696</v>
      </c>
      <c r="B862" s="144"/>
      <c r="C862" s="144" t="s">
        <v>630</v>
      </c>
      <c r="D862" s="146" t="s">
        <v>630</v>
      </c>
      <c r="E862" s="145" t="n">
        <v>38</v>
      </c>
      <c r="F862" s="145" t="n">
        <v>96</v>
      </c>
      <c r="G862" s="146" t="s">
        <v>236</v>
      </c>
    </row>
    <row r="863" customFormat="false" ht="15.75" hidden="false" customHeight="true" outlineLevel="0" collapsed="false">
      <c r="A863" s="144" t="s">
        <v>1697</v>
      </c>
      <c r="B863" s="144"/>
      <c r="C863" s="144" t="s">
        <v>630</v>
      </c>
      <c r="D863" s="146" t="s">
        <v>630</v>
      </c>
      <c r="E863" s="145" t="n">
        <v>38</v>
      </c>
      <c r="F863" s="145" t="n">
        <v>96</v>
      </c>
      <c r="G863" s="146" t="s">
        <v>236</v>
      </c>
    </row>
    <row r="864" customFormat="false" ht="15.75" hidden="false" customHeight="true" outlineLevel="0" collapsed="false">
      <c r="A864" s="144" t="s">
        <v>1698</v>
      </c>
      <c r="B864" s="144"/>
      <c r="C864" s="144" t="s">
        <v>630</v>
      </c>
      <c r="D864" s="146" t="s">
        <v>630</v>
      </c>
      <c r="E864" s="145" t="n">
        <v>38</v>
      </c>
      <c r="F864" s="145" t="n">
        <v>96</v>
      </c>
      <c r="G864" s="146" t="s">
        <v>236</v>
      </c>
    </row>
    <row r="865" customFormat="false" ht="15.75" hidden="false" customHeight="true" outlineLevel="0" collapsed="false">
      <c r="A865" s="144" t="s">
        <v>1699</v>
      </c>
      <c r="B865" s="144"/>
      <c r="C865" s="144" t="s">
        <v>630</v>
      </c>
      <c r="D865" s="146" t="s">
        <v>630</v>
      </c>
      <c r="E865" s="145" t="n">
        <v>38</v>
      </c>
      <c r="F865" s="145" t="n">
        <v>96</v>
      </c>
      <c r="G865" s="146" t="s">
        <v>236</v>
      </c>
    </row>
    <row r="866" customFormat="false" ht="15.75" hidden="false" customHeight="true" outlineLevel="0" collapsed="false">
      <c r="A866" s="144" t="s">
        <v>1700</v>
      </c>
      <c r="B866" s="144"/>
      <c r="C866" s="144" t="s">
        <v>630</v>
      </c>
      <c r="D866" s="146" t="s">
        <v>630</v>
      </c>
      <c r="E866" s="145" t="n">
        <v>38</v>
      </c>
      <c r="F866" s="145" t="n">
        <v>96</v>
      </c>
      <c r="G866" s="146" t="s">
        <v>236</v>
      </c>
    </row>
    <row r="867" customFormat="false" ht="15.75" hidden="false" customHeight="true" outlineLevel="0" collapsed="false">
      <c r="A867" s="144" t="s">
        <v>1701</v>
      </c>
      <c r="B867" s="144"/>
      <c r="C867" s="144" t="s">
        <v>630</v>
      </c>
      <c r="D867" s="146" t="s">
        <v>630</v>
      </c>
      <c r="E867" s="145" t="n">
        <v>38</v>
      </c>
      <c r="F867" s="145" t="n">
        <v>96</v>
      </c>
      <c r="G867" s="146" t="s">
        <v>236</v>
      </c>
    </row>
    <row r="868" customFormat="false" ht="15.75" hidden="false" customHeight="true" outlineLevel="0" collapsed="false">
      <c r="A868" s="144" t="s">
        <v>1702</v>
      </c>
      <c r="B868" s="144"/>
      <c r="C868" s="144" t="s">
        <v>714</v>
      </c>
      <c r="D868" s="146" t="s">
        <v>714</v>
      </c>
      <c r="E868" s="145" t="n">
        <v>5950</v>
      </c>
      <c r="F868" s="145" t="n">
        <v>10539</v>
      </c>
      <c r="G868" s="146" t="s">
        <v>236</v>
      </c>
    </row>
    <row r="869" customFormat="false" ht="15.75" hidden="false" customHeight="true" outlineLevel="0" collapsed="false">
      <c r="A869" s="144" t="s">
        <v>1703</v>
      </c>
      <c r="B869" s="144"/>
      <c r="C869" s="144" t="s">
        <v>630</v>
      </c>
      <c r="D869" s="146" t="s">
        <v>630</v>
      </c>
      <c r="E869" s="145" t="n">
        <v>38</v>
      </c>
      <c r="F869" s="145" t="n">
        <v>96</v>
      </c>
      <c r="G869" s="146" t="s">
        <v>236</v>
      </c>
    </row>
    <row r="870" customFormat="false" ht="15.75" hidden="false" customHeight="true" outlineLevel="0" collapsed="false">
      <c r="A870" s="144" t="s">
        <v>1704</v>
      </c>
      <c r="B870" s="144"/>
      <c r="C870" s="144" t="s">
        <v>630</v>
      </c>
      <c r="D870" s="146" t="s">
        <v>630</v>
      </c>
      <c r="E870" s="145" t="n">
        <v>38</v>
      </c>
      <c r="F870" s="145" t="n">
        <v>96</v>
      </c>
      <c r="G870" s="146" t="s">
        <v>236</v>
      </c>
    </row>
    <row r="871" customFormat="false" ht="15.75" hidden="false" customHeight="true" outlineLevel="0" collapsed="false">
      <c r="A871" s="144" t="s">
        <v>1705</v>
      </c>
      <c r="B871" s="144"/>
      <c r="C871" s="144" t="s">
        <v>630</v>
      </c>
      <c r="D871" s="146" t="s">
        <v>630</v>
      </c>
      <c r="E871" s="145" t="n">
        <v>38</v>
      </c>
      <c r="F871" s="145" t="n">
        <v>96</v>
      </c>
      <c r="G871" s="146" t="s">
        <v>236</v>
      </c>
    </row>
    <row r="872" customFormat="false" ht="15.75" hidden="false" customHeight="true" outlineLevel="0" collapsed="false">
      <c r="A872" s="144" t="s">
        <v>1706</v>
      </c>
      <c r="B872" s="144"/>
      <c r="C872" s="144" t="s">
        <v>630</v>
      </c>
      <c r="D872" s="146" t="s">
        <v>630</v>
      </c>
      <c r="E872" s="145" t="n">
        <v>38</v>
      </c>
      <c r="F872" s="145" t="n">
        <v>96</v>
      </c>
      <c r="G872" s="146" t="s">
        <v>236</v>
      </c>
    </row>
    <row r="873" customFormat="false" ht="15.75" hidden="false" customHeight="true" outlineLevel="0" collapsed="false">
      <c r="A873" s="144" t="s">
        <v>1707</v>
      </c>
      <c r="B873" s="144"/>
      <c r="C873" s="144" t="s">
        <v>630</v>
      </c>
      <c r="D873" s="146" t="s">
        <v>630</v>
      </c>
      <c r="E873" s="145" t="n">
        <v>38</v>
      </c>
      <c r="F873" s="145" t="n">
        <v>96</v>
      </c>
      <c r="G873" s="146" t="s">
        <v>236</v>
      </c>
    </row>
    <row r="874" customFormat="false" ht="15.75" hidden="false" customHeight="true" outlineLevel="0" collapsed="false">
      <c r="A874" s="144" t="s">
        <v>1708</v>
      </c>
      <c r="B874" s="144" t="s">
        <v>1709</v>
      </c>
      <c r="C874" s="144"/>
      <c r="D874" s="146" t="s">
        <v>1709</v>
      </c>
      <c r="E874" s="145" t="n">
        <v>454</v>
      </c>
      <c r="F874" s="145" t="n">
        <v>454</v>
      </c>
      <c r="G874" s="146" t="s">
        <v>236</v>
      </c>
    </row>
    <row r="875" customFormat="false" ht="15.75" hidden="false" customHeight="true" outlineLevel="0" collapsed="false">
      <c r="A875" s="144" t="s">
        <v>1710</v>
      </c>
      <c r="B875" s="144"/>
      <c r="C875" s="144" t="s">
        <v>630</v>
      </c>
      <c r="D875" s="146" t="s">
        <v>630</v>
      </c>
      <c r="E875" s="145" t="n">
        <v>38</v>
      </c>
      <c r="F875" s="145" t="n">
        <v>96</v>
      </c>
      <c r="G875" s="146" t="s">
        <v>236</v>
      </c>
    </row>
    <row r="876" customFormat="false" ht="15.75" hidden="false" customHeight="true" outlineLevel="0" collapsed="false">
      <c r="A876" s="144" t="s">
        <v>1711</v>
      </c>
      <c r="B876" s="144"/>
      <c r="C876" s="144" t="s">
        <v>630</v>
      </c>
      <c r="D876" s="146" t="s">
        <v>630</v>
      </c>
      <c r="E876" s="145" t="n">
        <v>38</v>
      </c>
      <c r="F876" s="145" t="n">
        <v>96</v>
      </c>
      <c r="G876" s="146" t="s">
        <v>236</v>
      </c>
    </row>
    <row r="877" customFormat="false" ht="15.75" hidden="false" customHeight="true" outlineLevel="0" collapsed="false">
      <c r="A877" s="144" t="s">
        <v>1712</v>
      </c>
      <c r="B877" s="144" t="s">
        <v>654</v>
      </c>
      <c r="C877" s="144"/>
      <c r="D877" s="146" t="s">
        <v>654</v>
      </c>
      <c r="E877" s="145" t="n">
        <v>120</v>
      </c>
      <c r="F877" s="145" t="n">
        <v>183</v>
      </c>
      <c r="G877" s="146" t="s">
        <v>236</v>
      </c>
    </row>
    <row r="878" customFormat="false" ht="15.75" hidden="false" customHeight="true" outlineLevel="0" collapsed="false">
      <c r="A878" s="144" t="s">
        <v>1713</v>
      </c>
      <c r="B878" s="144"/>
      <c r="C878" s="144" t="s">
        <v>630</v>
      </c>
      <c r="D878" s="146" t="s">
        <v>630</v>
      </c>
      <c r="E878" s="145" t="n">
        <v>38</v>
      </c>
      <c r="F878" s="145" t="n">
        <v>96</v>
      </c>
      <c r="G878" s="146" t="s">
        <v>236</v>
      </c>
    </row>
    <row r="879" customFormat="false" ht="15.75" hidden="false" customHeight="true" outlineLevel="0" collapsed="false">
      <c r="A879" s="144" t="s">
        <v>1714</v>
      </c>
      <c r="B879" s="144" t="s">
        <v>1715</v>
      </c>
      <c r="C879" s="144"/>
      <c r="D879" s="146" t="s">
        <v>1715</v>
      </c>
      <c r="E879" s="145" t="n">
        <v>35000</v>
      </c>
      <c r="F879" s="145" t="n">
        <v>70000</v>
      </c>
      <c r="G879" s="146" t="s">
        <v>236</v>
      </c>
    </row>
    <row r="880" customFormat="false" ht="15.75" hidden="false" customHeight="true" outlineLevel="0" collapsed="false">
      <c r="A880" s="144" t="s">
        <v>1716</v>
      </c>
      <c r="B880" s="144"/>
      <c r="C880" s="144" t="s">
        <v>714</v>
      </c>
      <c r="D880" s="146" t="s">
        <v>714</v>
      </c>
      <c r="E880" s="145" t="n">
        <v>5950</v>
      </c>
      <c r="F880" s="145" t="n">
        <v>10539</v>
      </c>
      <c r="G880" s="146" t="s">
        <v>236</v>
      </c>
    </row>
    <row r="881" customFormat="false" ht="15.75" hidden="false" customHeight="true" outlineLevel="0" collapsed="false">
      <c r="A881" s="144" t="s">
        <v>1717</v>
      </c>
      <c r="B881" s="144"/>
      <c r="C881" s="144" t="s">
        <v>630</v>
      </c>
      <c r="D881" s="146" t="s">
        <v>630</v>
      </c>
      <c r="E881" s="145" t="n">
        <v>38</v>
      </c>
      <c r="F881" s="145" t="n">
        <v>96</v>
      </c>
      <c r="G881" s="146" t="s">
        <v>236</v>
      </c>
    </row>
    <row r="882" customFormat="false" ht="15.75" hidden="false" customHeight="true" outlineLevel="0" collapsed="false">
      <c r="A882" s="144" t="s">
        <v>1718</v>
      </c>
      <c r="B882" s="144"/>
      <c r="C882" s="144" t="s">
        <v>630</v>
      </c>
      <c r="D882" s="146" t="s">
        <v>630</v>
      </c>
      <c r="E882" s="145" t="n">
        <v>38</v>
      </c>
      <c r="F882" s="145" t="n">
        <v>96</v>
      </c>
      <c r="G882" s="146" t="s">
        <v>236</v>
      </c>
    </row>
    <row r="883" customFormat="false" ht="15.75" hidden="false" customHeight="true" outlineLevel="0" collapsed="false">
      <c r="A883" s="144" t="s">
        <v>1719</v>
      </c>
      <c r="B883" s="144"/>
      <c r="C883" s="144" t="s">
        <v>630</v>
      </c>
      <c r="D883" s="146" t="s">
        <v>630</v>
      </c>
      <c r="E883" s="145" t="n">
        <v>38</v>
      </c>
      <c r="F883" s="145" t="n">
        <v>96</v>
      </c>
      <c r="G883" s="146" t="s">
        <v>236</v>
      </c>
    </row>
    <row r="884" customFormat="false" ht="15.75" hidden="false" customHeight="true" outlineLevel="0" collapsed="false">
      <c r="A884" s="144" t="s">
        <v>1720</v>
      </c>
      <c r="B884" s="144"/>
      <c r="C884" s="144" t="s">
        <v>630</v>
      </c>
      <c r="D884" s="146" t="s">
        <v>630</v>
      </c>
      <c r="E884" s="145" t="n">
        <v>38</v>
      </c>
      <c r="F884" s="145" t="n">
        <v>96</v>
      </c>
      <c r="G884" s="146" t="s">
        <v>236</v>
      </c>
    </row>
    <row r="885" customFormat="false" ht="15.75" hidden="false" customHeight="true" outlineLevel="0" collapsed="false">
      <c r="A885" s="144" t="s">
        <v>1721</v>
      </c>
      <c r="B885" s="144"/>
      <c r="C885" s="144" t="s">
        <v>630</v>
      </c>
      <c r="D885" s="146" t="s">
        <v>630</v>
      </c>
      <c r="E885" s="145" t="n">
        <v>38</v>
      </c>
      <c r="F885" s="145" t="n">
        <v>96</v>
      </c>
      <c r="G885" s="146" t="s">
        <v>236</v>
      </c>
    </row>
    <row r="886" customFormat="false" ht="15.75" hidden="false" customHeight="true" outlineLevel="0" collapsed="false">
      <c r="A886" s="144" t="s">
        <v>1722</v>
      </c>
      <c r="B886" s="233" t="s">
        <v>1723</v>
      </c>
      <c r="C886" s="144"/>
      <c r="D886" s="146" t="s">
        <v>1723</v>
      </c>
      <c r="E886" s="145" t="n">
        <v>5</v>
      </c>
      <c r="F886" s="145" t="n">
        <v>5</v>
      </c>
      <c r="G886" s="146" t="s">
        <v>236</v>
      </c>
    </row>
    <row r="887" customFormat="false" ht="15.75" hidden="false" customHeight="true" outlineLevel="0" collapsed="false">
      <c r="A887" s="144" t="s">
        <v>1724</v>
      </c>
      <c r="B887" s="144"/>
      <c r="C887" s="144" t="s">
        <v>630</v>
      </c>
      <c r="D887" s="146" t="s">
        <v>630</v>
      </c>
      <c r="E887" s="145" t="n">
        <v>38</v>
      </c>
      <c r="F887" s="145" t="n">
        <v>96</v>
      </c>
      <c r="G887" s="146" t="s">
        <v>236</v>
      </c>
    </row>
    <row r="888" customFormat="false" ht="15.75" hidden="false" customHeight="true" outlineLevel="0" collapsed="false">
      <c r="A888" s="144" t="s">
        <v>1725</v>
      </c>
      <c r="B888" s="144" t="s">
        <v>1726</v>
      </c>
      <c r="C888" s="144"/>
      <c r="D888" s="146" t="s">
        <v>1726</v>
      </c>
      <c r="E888" s="145" t="n">
        <v>1000000</v>
      </c>
      <c r="F888" s="145" t="n">
        <v>1000000</v>
      </c>
      <c r="G888" s="146" t="s">
        <v>236</v>
      </c>
    </row>
    <row r="889" customFormat="false" ht="15.75" hidden="false" customHeight="true" outlineLevel="0" collapsed="false">
      <c r="A889" s="144" t="s">
        <v>1727</v>
      </c>
      <c r="B889" s="144" t="s">
        <v>1728</v>
      </c>
      <c r="C889" s="144"/>
      <c r="D889" s="146" t="s">
        <v>1728</v>
      </c>
      <c r="E889" s="145" t="n">
        <v>141</v>
      </c>
      <c r="F889" s="145" t="n">
        <v>141</v>
      </c>
      <c r="G889" s="146" t="s">
        <v>236</v>
      </c>
    </row>
    <row r="890" customFormat="false" ht="15.75" hidden="false" customHeight="true" outlineLevel="0" collapsed="false">
      <c r="A890" s="144" t="s">
        <v>1729</v>
      </c>
      <c r="B890" s="144"/>
      <c r="C890" s="144" t="s">
        <v>630</v>
      </c>
      <c r="D890" s="146" t="s">
        <v>630</v>
      </c>
      <c r="E890" s="145" t="n">
        <v>38</v>
      </c>
      <c r="F890" s="145" t="n">
        <v>96</v>
      </c>
      <c r="G890" s="146" t="s">
        <v>236</v>
      </c>
    </row>
    <row r="891" customFormat="false" ht="15.75" hidden="false" customHeight="true" outlineLevel="0" collapsed="false">
      <c r="A891" s="144" t="s">
        <v>1730</v>
      </c>
      <c r="B891" s="144" t="s">
        <v>1731</v>
      </c>
      <c r="C891" s="144"/>
      <c r="D891" s="146" t="s">
        <v>1731</v>
      </c>
      <c r="E891" s="145" t="n">
        <v>93</v>
      </c>
      <c r="F891" s="145" t="n">
        <v>93</v>
      </c>
      <c r="G891" s="146" t="s">
        <v>236</v>
      </c>
    </row>
    <row r="892" customFormat="false" ht="15.75" hidden="false" customHeight="true" outlineLevel="0" collapsed="false">
      <c r="A892" s="144" t="s">
        <v>1732</v>
      </c>
      <c r="B892" s="144"/>
      <c r="C892" s="144" t="s">
        <v>630</v>
      </c>
      <c r="D892" s="146" t="s">
        <v>630</v>
      </c>
      <c r="E892" s="145" t="n">
        <v>38</v>
      </c>
      <c r="F892" s="145" t="n">
        <v>96</v>
      </c>
      <c r="G892" s="146" t="s">
        <v>236</v>
      </c>
    </row>
    <row r="893" customFormat="false" ht="15.75" hidden="false" customHeight="true" outlineLevel="0" collapsed="false">
      <c r="A893" s="144" t="s">
        <v>1733</v>
      </c>
      <c r="B893" s="144"/>
      <c r="C893" s="144" t="s">
        <v>630</v>
      </c>
      <c r="D893" s="146" t="s">
        <v>630</v>
      </c>
      <c r="E893" s="145" t="n">
        <v>38</v>
      </c>
      <c r="F893" s="145" t="n">
        <v>96</v>
      </c>
      <c r="G893" s="146" t="s">
        <v>236</v>
      </c>
    </row>
    <row r="894" customFormat="false" ht="15.75" hidden="false" customHeight="true" outlineLevel="0" collapsed="false">
      <c r="A894" s="144" t="s">
        <v>1734</v>
      </c>
      <c r="B894" s="144"/>
      <c r="C894" s="144" t="s">
        <v>630</v>
      </c>
      <c r="D894" s="146" t="s">
        <v>630</v>
      </c>
      <c r="E894" s="145" t="n">
        <v>38</v>
      </c>
      <c r="F894" s="145" t="n">
        <v>96</v>
      </c>
      <c r="G894" s="146" t="s">
        <v>236</v>
      </c>
    </row>
    <row r="895" customFormat="false" ht="15.75" hidden="false" customHeight="true" outlineLevel="0" collapsed="false">
      <c r="A895" s="144" t="s">
        <v>1735</v>
      </c>
      <c r="B895" s="144"/>
      <c r="C895" s="144" t="s">
        <v>630</v>
      </c>
      <c r="D895" s="146" t="s">
        <v>630</v>
      </c>
      <c r="E895" s="145" t="n">
        <v>38</v>
      </c>
      <c r="F895" s="145" t="n">
        <v>96</v>
      </c>
      <c r="G895" s="146" t="s">
        <v>236</v>
      </c>
    </row>
    <row r="896" customFormat="false" ht="15.75" hidden="false" customHeight="true" outlineLevel="0" collapsed="false">
      <c r="A896" s="144" t="s">
        <v>1736</v>
      </c>
      <c r="B896" s="144"/>
      <c r="C896" s="144" t="s">
        <v>630</v>
      </c>
      <c r="D896" s="146" t="s">
        <v>630</v>
      </c>
      <c r="E896" s="145" t="n">
        <v>38</v>
      </c>
      <c r="F896" s="145" t="n">
        <v>96</v>
      </c>
      <c r="G896" s="146" t="s">
        <v>236</v>
      </c>
    </row>
    <row r="897" customFormat="false" ht="15.75" hidden="false" customHeight="true" outlineLevel="0" collapsed="false">
      <c r="A897" s="144" t="s">
        <v>1737</v>
      </c>
      <c r="B897" s="144"/>
      <c r="C897" s="144" t="s">
        <v>630</v>
      </c>
      <c r="D897" s="146" t="s">
        <v>630</v>
      </c>
      <c r="E897" s="145" t="n">
        <v>38</v>
      </c>
      <c r="F897" s="145" t="n">
        <v>96</v>
      </c>
      <c r="G897" s="146" t="s">
        <v>236</v>
      </c>
    </row>
    <row r="898" customFormat="false" ht="15.75" hidden="false" customHeight="true" outlineLevel="0" collapsed="false">
      <c r="A898" s="144" t="s">
        <v>1738</v>
      </c>
      <c r="B898" s="144"/>
      <c r="C898" s="144" t="s">
        <v>630</v>
      </c>
      <c r="D898" s="146" t="s">
        <v>630</v>
      </c>
      <c r="E898" s="145" t="n">
        <v>38</v>
      </c>
      <c r="F898" s="145" t="n">
        <v>96</v>
      </c>
      <c r="G898" s="146" t="s">
        <v>236</v>
      </c>
    </row>
    <row r="899" customFormat="false" ht="15.75" hidden="false" customHeight="true" outlineLevel="0" collapsed="false">
      <c r="A899" s="144" t="s">
        <v>1739</v>
      </c>
      <c r="B899" s="144"/>
      <c r="C899" s="144" t="s">
        <v>630</v>
      </c>
      <c r="D899" s="146" t="s">
        <v>630</v>
      </c>
      <c r="E899" s="145" t="n">
        <v>38</v>
      </c>
      <c r="F899" s="145" t="n">
        <v>96</v>
      </c>
      <c r="G899" s="146" t="s">
        <v>236</v>
      </c>
    </row>
    <row r="900" customFormat="false" ht="15.75" hidden="false" customHeight="true" outlineLevel="0" collapsed="false">
      <c r="A900" s="144" t="s">
        <v>1740</v>
      </c>
      <c r="B900" s="144" t="s">
        <v>1741</v>
      </c>
      <c r="C900" s="144"/>
      <c r="D900" s="146" t="s">
        <v>1741</v>
      </c>
      <c r="E900" s="145" t="n">
        <v>3740</v>
      </c>
      <c r="F900" s="145" t="n">
        <v>5100</v>
      </c>
      <c r="G900" s="146" t="s">
        <v>236</v>
      </c>
    </row>
    <row r="901" customFormat="false" ht="15.75" hidden="false" customHeight="true" outlineLevel="0" collapsed="false">
      <c r="A901" s="144" t="s">
        <v>1742</v>
      </c>
      <c r="B901" s="144" t="s">
        <v>1743</v>
      </c>
      <c r="C901" s="144"/>
      <c r="D901" s="146" t="s">
        <v>1743</v>
      </c>
      <c r="E901" s="145" t="n">
        <v>704</v>
      </c>
      <c r="F901" s="145" t="n">
        <v>960</v>
      </c>
      <c r="G901" s="146" t="s">
        <v>236</v>
      </c>
    </row>
    <row r="902" customFormat="false" ht="15.75" hidden="false" customHeight="true" outlineLevel="0" collapsed="false">
      <c r="A902" s="144" t="s">
        <v>1744</v>
      </c>
      <c r="B902" s="144" t="s">
        <v>1745</v>
      </c>
      <c r="C902" s="144"/>
      <c r="D902" s="146" t="s">
        <v>1745</v>
      </c>
      <c r="E902" s="145" t="n">
        <v>2759</v>
      </c>
      <c r="F902" s="145" t="n">
        <v>2795</v>
      </c>
      <c r="G902" s="146" t="s">
        <v>236</v>
      </c>
    </row>
    <row r="903" customFormat="false" ht="15.75" hidden="false" customHeight="true" outlineLevel="0" collapsed="false">
      <c r="A903" s="144" t="s">
        <v>1746</v>
      </c>
      <c r="B903" s="144"/>
      <c r="C903" s="144" t="s">
        <v>630</v>
      </c>
      <c r="D903" s="146" t="s">
        <v>630</v>
      </c>
      <c r="E903" s="145" t="n">
        <v>38</v>
      </c>
      <c r="F903" s="145" t="n">
        <v>96</v>
      </c>
      <c r="G903" s="146" t="s">
        <v>236</v>
      </c>
    </row>
    <row r="904" customFormat="false" ht="15.75" hidden="false" customHeight="true" outlineLevel="0" collapsed="false">
      <c r="A904" s="144" t="s">
        <v>1747</v>
      </c>
      <c r="B904" s="144" t="s">
        <v>1748</v>
      </c>
      <c r="C904" s="144"/>
      <c r="D904" s="146" t="s">
        <v>1748</v>
      </c>
      <c r="E904" s="145" t="n">
        <v>300</v>
      </c>
      <c r="F904" s="145" t="n">
        <v>1814</v>
      </c>
      <c r="G904" s="146" t="s">
        <v>236</v>
      </c>
    </row>
    <row r="905" customFormat="false" ht="15.75" hidden="false" customHeight="true" outlineLevel="0" collapsed="false">
      <c r="A905" s="144" t="s">
        <v>1749</v>
      </c>
      <c r="B905" s="144"/>
      <c r="C905" s="144" t="s">
        <v>630</v>
      </c>
      <c r="D905" s="146" t="s">
        <v>630</v>
      </c>
      <c r="E905" s="145" t="n">
        <v>38</v>
      </c>
      <c r="F905" s="145" t="n">
        <v>96</v>
      </c>
      <c r="G905" s="146" t="s">
        <v>236</v>
      </c>
    </row>
    <row r="906" customFormat="false" ht="15.75" hidden="false" customHeight="true" outlineLevel="0" collapsed="false">
      <c r="A906" s="144" t="s">
        <v>1750</v>
      </c>
      <c r="B906" s="144"/>
      <c r="C906" s="144" t="s">
        <v>630</v>
      </c>
      <c r="D906" s="146" t="s">
        <v>630</v>
      </c>
      <c r="E906" s="145" t="n">
        <v>38</v>
      </c>
      <c r="F906" s="145" t="n">
        <v>96</v>
      </c>
      <c r="G906" s="146" t="s">
        <v>236</v>
      </c>
    </row>
    <row r="907" customFormat="false" ht="15.75" hidden="false" customHeight="true" outlineLevel="0" collapsed="false">
      <c r="A907" s="144" t="s">
        <v>1751</v>
      </c>
      <c r="B907" s="144"/>
      <c r="C907" s="144" t="s">
        <v>630</v>
      </c>
      <c r="D907" s="146" t="s">
        <v>630</v>
      </c>
      <c r="E907" s="145" t="n">
        <v>38</v>
      </c>
      <c r="F907" s="145" t="n">
        <v>96</v>
      </c>
      <c r="G907" s="146" t="s">
        <v>236</v>
      </c>
    </row>
    <row r="908" customFormat="false" ht="15.75" hidden="false" customHeight="true" outlineLevel="0" collapsed="false">
      <c r="A908" s="144" t="s">
        <v>1752</v>
      </c>
      <c r="B908" s="144"/>
      <c r="C908" s="144" t="s">
        <v>630</v>
      </c>
      <c r="D908" s="146" t="s">
        <v>630</v>
      </c>
      <c r="E908" s="145" t="n">
        <v>38</v>
      </c>
      <c r="F908" s="145" t="n">
        <v>96</v>
      </c>
      <c r="G908" s="146" t="s">
        <v>236</v>
      </c>
    </row>
    <row r="909" customFormat="false" ht="15.75" hidden="false" customHeight="true" outlineLevel="0" collapsed="false">
      <c r="A909" s="144" t="s">
        <v>1753</v>
      </c>
      <c r="B909" s="144"/>
      <c r="C909" s="144" t="s">
        <v>630</v>
      </c>
      <c r="D909" s="146" t="s">
        <v>630</v>
      </c>
      <c r="E909" s="145" t="n">
        <v>38</v>
      </c>
      <c r="F909" s="145" t="n">
        <v>96</v>
      </c>
      <c r="G909" s="146" t="s">
        <v>236</v>
      </c>
    </row>
    <row r="910" customFormat="false" ht="15.75" hidden="false" customHeight="true" outlineLevel="0" collapsed="false">
      <c r="A910" s="144" t="s">
        <v>1754</v>
      </c>
      <c r="B910" s="144"/>
      <c r="C910" s="144" t="s">
        <v>630</v>
      </c>
      <c r="D910" s="146" t="s">
        <v>630</v>
      </c>
      <c r="E910" s="145" t="n">
        <v>38</v>
      </c>
      <c r="F910" s="145" t="n">
        <v>96</v>
      </c>
      <c r="G910" s="146" t="s">
        <v>236</v>
      </c>
    </row>
    <row r="911" customFormat="false" ht="15.75" hidden="false" customHeight="true" outlineLevel="0" collapsed="false">
      <c r="A911" s="144" t="s">
        <v>1755</v>
      </c>
      <c r="B911" s="144"/>
      <c r="C911" s="144" t="s">
        <v>630</v>
      </c>
      <c r="D911" s="146" t="s">
        <v>630</v>
      </c>
      <c r="E911" s="145" t="n">
        <v>38</v>
      </c>
      <c r="F911" s="145" t="n">
        <v>96</v>
      </c>
      <c r="G911" s="146" t="s">
        <v>236</v>
      </c>
    </row>
    <row r="912" customFormat="false" ht="15.75" hidden="false" customHeight="true" outlineLevel="0" collapsed="false">
      <c r="A912" s="144" t="s">
        <v>1756</v>
      </c>
      <c r="B912" s="144" t="s">
        <v>900</v>
      </c>
      <c r="C912" s="144"/>
      <c r="D912" s="146" t="s">
        <v>900</v>
      </c>
      <c r="E912" s="145" t="n">
        <v>23</v>
      </c>
      <c r="F912" s="145" t="n">
        <v>28</v>
      </c>
      <c r="G912" s="146" t="s">
        <v>236</v>
      </c>
    </row>
    <row r="913" customFormat="false" ht="15.75" hidden="false" customHeight="true" outlineLevel="0" collapsed="false">
      <c r="A913" s="144" t="s">
        <v>1757</v>
      </c>
      <c r="B913" s="144"/>
      <c r="C913" s="144" t="s">
        <v>598</v>
      </c>
      <c r="D913" s="146" t="s">
        <v>598</v>
      </c>
      <c r="E913" s="145" t="n">
        <v>38</v>
      </c>
      <c r="F913" s="145" t="n">
        <v>97</v>
      </c>
      <c r="G913" s="146" t="s">
        <v>236</v>
      </c>
    </row>
    <row r="914" customFormat="false" ht="15.75" hidden="false" customHeight="true" outlineLevel="0" collapsed="false">
      <c r="A914" s="144" t="s">
        <v>1758</v>
      </c>
      <c r="B914" s="144"/>
      <c r="C914" s="144" t="s">
        <v>630</v>
      </c>
      <c r="D914" s="146" t="s">
        <v>630</v>
      </c>
      <c r="E914" s="145" t="n">
        <v>38</v>
      </c>
      <c r="F914" s="145" t="n">
        <v>96</v>
      </c>
      <c r="G914" s="146" t="s">
        <v>236</v>
      </c>
    </row>
    <row r="915" customFormat="false" ht="15.75" hidden="false" customHeight="true" outlineLevel="0" collapsed="false">
      <c r="A915" s="144" t="s">
        <v>1759</v>
      </c>
      <c r="B915" s="144"/>
      <c r="C915" s="144" t="s">
        <v>630</v>
      </c>
      <c r="D915" s="146" t="s">
        <v>630</v>
      </c>
      <c r="E915" s="145" t="n">
        <v>38</v>
      </c>
      <c r="F915" s="145" t="n">
        <v>96</v>
      </c>
      <c r="G915" s="146" t="s">
        <v>236</v>
      </c>
    </row>
    <row r="916" customFormat="false" ht="15.75" hidden="false" customHeight="true" outlineLevel="0" collapsed="false">
      <c r="A916" s="144" t="s">
        <v>1760</v>
      </c>
      <c r="B916" s="144"/>
      <c r="C916" s="144" t="s">
        <v>630</v>
      </c>
      <c r="D916" s="146" t="s">
        <v>630</v>
      </c>
      <c r="E916" s="145" t="n">
        <v>38</v>
      </c>
      <c r="F916" s="145" t="n">
        <v>96</v>
      </c>
      <c r="G916" s="146" t="s">
        <v>236</v>
      </c>
    </row>
    <row r="917" customFormat="false" ht="15.75" hidden="false" customHeight="true" outlineLevel="0" collapsed="false">
      <c r="A917" s="144" t="s">
        <v>1761</v>
      </c>
      <c r="B917" s="144"/>
      <c r="C917" s="144" t="s">
        <v>630</v>
      </c>
      <c r="D917" s="146" t="s">
        <v>630</v>
      </c>
      <c r="E917" s="145" t="n">
        <v>38</v>
      </c>
      <c r="F917" s="145" t="n">
        <v>96</v>
      </c>
      <c r="G917" s="146" t="s">
        <v>236</v>
      </c>
    </row>
    <row r="918" customFormat="false" ht="15.75" hidden="false" customHeight="true" outlineLevel="0" collapsed="false">
      <c r="A918" s="144" t="s">
        <v>1762</v>
      </c>
      <c r="B918" s="144" t="s">
        <v>1763</v>
      </c>
      <c r="C918" s="144"/>
      <c r="D918" s="146" t="s">
        <v>1763</v>
      </c>
      <c r="E918" s="145" t="n">
        <v>907</v>
      </c>
      <c r="F918" s="145" t="n">
        <v>2272</v>
      </c>
      <c r="G918" s="146" t="s">
        <v>236</v>
      </c>
    </row>
    <row r="919" customFormat="false" ht="15.75" hidden="false" customHeight="true" outlineLevel="0" collapsed="false">
      <c r="A919" s="144" t="s">
        <v>1764</v>
      </c>
      <c r="B919" s="144"/>
      <c r="C919" s="144" t="s">
        <v>630</v>
      </c>
      <c r="D919" s="146" t="s">
        <v>630</v>
      </c>
      <c r="E919" s="145" t="n">
        <v>38</v>
      </c>
      <c r="F919" s="145" t="n">
        <v>96</v>
      </c>
      <c r="G919" s="146" t="s">
        <v>236</v>
      </c>
    </row>
    <row r="920" customFormat="false" ht="15.75" hidden="false" customHeight="true" outlineLevel="0" collapsed="false">
      <c r="A920" s="144" t="s">
        <v>1765</v>
      </c>
      <c r="B920" s="144"/>
      <c r="C920" s="144" t="s">
        <v>630</v>
      </c>
      <c r="D920" s="146" t="s">
        <v>630</v>
      </c>
      <c r="E920" s="145" t="n">
        <v>38</v>
      </c>
      <c r="F920" s="145" t="n">
        <v>96</v>
      </c>
      <c r="G920" s="146" t="s">
        <v>236</v>
      </c>
    </row>
    <row r="921" customFormat="false" ht="15.75" hidden="false" customHeight="true" outlineLevel="0" collapsed="false">
      <c r="A921" s="144" t="s">
        <v>1766</v>
      </c>
      <c r="B921" s="144" t="s">
        <v>1767</v>
      </c>
      <c r="C921" s="144"/>
      <c r="D921" s="146" t="s">
        <v>1767</v>
      </c>
      <c r="E921" s="145" t="n">
        <v>11000</v>
      </c>
      <c r="F921" s="145" t="n">
        <v>11000</v>
      </c>
      <c r="G921" s="146" t="s">
        <v>236</v>
      </c>
    </row>
    <row r="922" customFormat="false" ht="15.75" hidden="false" customHeight="true" outlineLevel="0" collapsed="false">
      <c r="A922" s="144" t="s">
        <v>1768</v>
      </c>
      <c r="B922" s="144"/>
      <c r="C922" s="144" t="s">
        <v>630</v>
      </c>
      <c r="D922" s="146" t="s">
        <v>630</v>
      </c>
      <c r="E922" s="145" t="n">
        <v>38</v>
      </c>
      <c r="F922" s="145" t="n">
        <v>96</v>
      </c>
      <c r="G922" s="146" t="s">
        <v>236</v>
      </c>
    </row>
    <row r="923" customFormat="false" ht="15.75" hidden="false" customHeight="true" outlineLevel="0" collapsed="false">
      <c r="A923" s="144" t="s">
        <v>1769</v>
      </c>
      <c r="B923" s="144" t="s">
        <v>1770</v>
      </c>
      <c r="C923" s="144"/>
      <c r="D923" s="146" t="s">
        <v>1770</v>
      </c>
      <c r="E923" s="145" t="n">
        <v>135000</v>
      </c>
      <c r="F923" s="145" t="n">
        <v>135000</v>
      </c>
      <c r="G923" s="146" t="s">
        <v>236</v>
      </c>
    </row>
    <row r="924" customFormat="false" ht="15.75" hidden="false" customHeight="true" outlineLevel="0" collapsed="false">
      <c r="A924" s="144" t="s">
        <v>1771</v>
      </c>
      <c r="B924" s="144"/>
      <c r="C924" s="144" t="s">
        <v>714</v>
      </c>
      <c r="D924" s="146" t="s">
        <v>714</v>
      </c>
      <c r="E924" s="145" t="n">
        <v>5950</v>
      </c>
      <c r="F924" s="145" t="n">
        <v>10539</v>
      </c>
      <c r="G924" s="146" t="s">
        <v>236</v>
      </c>
    </row>
    <row r="925" customFormat="false" ht="15.75" hidden="false" customHeight="true" outlineLevel="0" collapsed="false">
      <c r="A925" s="144" t="s">
        <v>1772</v>
      </c>
      <c r="B925" s="144"/>
      <c r="C925" s="144" t="s">
        <v>630</v>
      </c>
      <c r="D925" s="146" t="s">
        <v>630</v>
      </c>
      <c r="E925" s="145" t="n">
        <v>38</v>
      </c>
      <c r="F925" s="145" t="n">
        <v>96</v>
      </c>
      <c r="G925" s="146" t="s">
        <v>236</v>
      </c>
    </row>
    <row r="926" customFormat="false" ht="15.75" hidden="false" customHeight="true" outlineLevel="0" collapsed="false">
      <c r="A926" s="144" t="s">
        <v>1773</v>
      </c>
      <c r="B926" s="144"/>
      <c r="C926" s="144" t="s">
        <v>630</v>
      </c>
      <c r="D926" s="146" t="s">
        <v>630</v>
      </c>
      <c r="E926" s="145" t="n">
        <v>38</v>
      </c>
      <c r="F926" s="145" t="n">
        <v>96</v>
      </c>
      <c r="G926" s="146" t="s">
        <v>236</v>
      </c>
    </row>
    <row r="927" customFormat="false" ht="15.75" hidden="false" customHeight="true" outlineLevel="0" collapsed="false">
      <c r="A927" s="144" t="s">
        <v>1774</v>
      </c>
      <c r="B927" s="144"/>
      <c r="C927" s="144" t="s">
        <v>630</v>
      </c>
      <c r="D927" s="146" t="s">
        <v>630</v>
      </c>
      <c r="E927" s="145" t="n">
        <v>38</v>
      </c>
      <c r="F927" s="145" t="n">
        <v>96</v>
      </c>
      <c r="G927" s="146" t="s">
        <v>236</v>
      </c>
    </row>
    <row r="928" customFormat="false" ht="15.75" hidden="false" customHeight="true" outlineLevel="0" collapsed="false">
      <c r="A928" s="144" t="s">
        <v>1775</v>
      </c>
      <c r="B928" s="144"/>
      <c r="C928" s="144" t="s">
        <v>630</v>
      </c>
      <c r="D928" s="146" t="s">
        <v>630</v>
      </c>
      <c r="E928" s="145" t="n">
        <v>38</v>
      </c>
      <c r="F928" s="145" t="n">
        <v>96</v>
      </c>
      <c r="G928" s="146" t="s">
        <v>236</v>
      </c>
    </row>
    <row r="929" customFormat="false" ht="15.75" hidden="false" customHeight="true" outlineLevel="0" collapsed="false">
      <c r="A929" s="144" t="s">
        <v>1776</v>
      </c>
      <c r="B929" s="144"/>
      <c r="C929" s="144" t="s">
        <v>630</v>
      </c>
      <c r="D929" s="146" t="s">
        <v>630</v>
      </c>
      <c r="E929" s="145" t="n">
        <v>38</v>
      </c>
      <c r="F929" s="145" t="n">
        <v>96</v>
      </c>
      <c r="G929" s="146" t="s">
        <v>236</v>
      </c>
    </row>
    <row r="930" customFormat="false" ht="15.75" hidden="false" customHeight="true" outlineLevel="0" collapsed="false">
      <c r="A930" s="144" t="s">
        <v>1777</v>
      </c>
      <c r="B930" s="144"/>
      <c r="C930" s="144" t="s">
        <v>630</v>
      </c>
      <c r="D930" s="146" t="s">
        <v>630</v>
      </c>
      <c r="E930" s="145" t="n">
        <v>38</v>
      </c>
      <c r="F930" s="145" t="n">
        <v>96</v>
      </c>
      <c r="G930" s="146" t="s">
        <v>236</v>
      </c>
    </row>
    <row r="931" customFormat="false" ht="15.75" hidden="false" customHeight="true" outlineLevel="0" collapsed="false">
      <c r="A931" s="144" t="s">
        <v>1778</v>
      </c>
      <c r="B931" s="144"/>
      <c r="C931" s="144" t="s">
        <v>630</v>
      </c>
      <c r="D931" s="146" t="s">
        <v>630</v>
      </c>
      <c r="E931" s="145" t="n">
        <v>38</v>
      </c>
      <c r="F931" s="145" t="n">
        <v>96</v>
      </c>
      <c r="G931" s="146" t="s">
        <v>236</v>
      </c>
    </row>
    <row r="932" customFormat="false" ht="15.75" hidden="false" customHeight="true" outlineLevel="0" collapsed="false">
      <c r="A932" s="144" t="s">
        <v>1779</v>
      </c>
      <c r="B932" s="144"/>
      <c r="C932" s="144" t="s">
        <v>1417</v>
      </c>
      <c r="D932" s="146" t="s">
        <v>1417</v>
      </c>
      <c r="E932" s="145" t="n">
        <v>1155</v>
      </c>
      <c r="F932" s="145" t="n">
        <v>1575</v>
      </c>
      <c r="G932" s="146" t="s">
        <v>236</v>
      </c>
    </row>
    <row r="933" customFormat="false" ht="15.75" hidden="false" customHeight="true" outlineLevel="0" collapsed="false">
      <c r="A933" s="144" t="s">
        <v>1780</v>
      </c>
      <c r="B933" s="144"/>
      <c r="C933" s="144" t="s">
        <v>714</v>
      </c>
      <c r="D933" s="146" t="s">
        <v>714</v>
      </c>
      <c r="E933" s="145" t="n">
        <v>5950</v>
      </c>
      <c r="F933" s="145" t="n">
        <v>10539</v>
      </c>
      <c r="G933" s="146" t="s">
        <v>236</v>
      </c>
    </row>
    <row r="934" customFormat="false" ht="15.75" hidden="false" customHeight="true" outlineLevel="0" collapsed="false">
      <c r="A934" s="144" t="s">
        <v>1781</v>
      </c>
      <c r="B934" s="144"/>
      <c r="C934" s="144" t="s">
        <v>630</v>
      </c>
      <c r="D934" s="146" t="s">
        <v>630</v>
      </c>
      <c r="E934" s="145" t="n">
        <v>38</v>
      </c>
      <c r="F934" s="145" t="n">
        <v>96</v>
      </c>
      <c r="G934" s="146" t="s">
        <v>236</v>
      </c>
    </row>
    <row r="935" customFormat="false" ht="15.75" hidden="false" customHeight="true" outlineLevel="0" collapsed="false">
      <c r="A935" s="144" t="s">
        <v>1782</v>
      </c>
      <c r="B935" s="144"/>
      <c r="C935" s="144" t="s">
        <v>630</v>
      </c>
      <c r="D935" s="146" t="s">
        <v>630</v>
      </c>
      <c r="E935" s="145" t="n">
        <v>38</v>
      </c>
      <c r="F935" s="145" t="n">
        <v>96</v>
      </c>
      <c r="G935" s="146" t="s">
        <v>236</v>
      </c>
    </row>
    <row r="936" customFormat="false" ht="15.75" hidden="false" customHeight="true" outlineLevel="0" collapsed="false">
      <c r="A936" s="144" t="s">
        <v>1783</v>
      </c>
      <c r="B936" s="144"/>
      <c r="C936" s="144" t="s">
        <v>630</v>
      </c>
      <c r="D936" s="146" t="s">
        <v>630</v>
      </c>
      <c r="E936" s="145" t="n">
        <v>38</v>
      </c>
      <c r="F936" s="145" t="n">
        <v>96</v>
      </c>
      <c r="G936" s="146" t="s">
        <v>236</v>
      </c>
    </row>
    <row r="937" customFormat="false" ht="15.75" hidden="false" customHeight="true" outlineLevel="0" collapsed="false">
      <c r="A937" s="144" t="s">
        <v>1784</v>
      </c>
      <c r="B937" s="144"/>
      <c r="C937" s="144" t="s">
        <v>630</v>
      </c>
      <c r="D937" s="146" t="s">
        <v>630</v>
      </c>
      <c r="E937" s="145" t="n">
        <v>38</v>
      </c>
      <c r="F937" s="145" t="n">
        <v>96</v>
      </c>
      <c r="G937" s="146" t="s">
        <v>236</v>
      </c>
    </row>
    <row r="938" customFormat="false" ht="15.75" hidden="false" customHeight="true" outlineLevel="0" collapsed="false">
      <c r="A938" s="144" t="s">
        <v>1785</v>
      </c>
      <c r="B938" s="144"/>
      <c r="C938" s="144" t="s">
        <v>630</v>
      </c>
      <c r="D938" s="146" t="s">
        <v>630</v>
      </c>
      <c r="E938" s="145" t="n">
        <v>38</v>
      </c>
      <c r="F938" s="145" t="n">
        <v>96</v>
      </c>
      <c r="G938" s="146" t="s">
        <v>236</v>
      </c>
    </row>
    <row r="939" customFormat="false" ht="15.75" hidden="false" customHeight="true" outlineLevel="0" collapsed="false">
      <c r="A939" s="144" t="s">
        <v>1786</v>
      </c>
      <c r="B939" s="144"/>
      <c r="C939" s="144" t="s">
        <v>630</v>
      </c>
      <c r="D939" s="146" t="s">
        <v>630</v>
      </c>
      <c r="E939" s="145" t="n">
        <v>38</v>
      </c>
      <c r="F939" s="145" t="n">
        <v>96</v>
      </c>
      <c r="G939" s="146" t="s">
        <v>236</v>
      </c>
    </row>
    <row r="940" customFormat="false" ht="15.75" hidden="false" customHeight="true" outlineLevel="0" collapsed="false">
      <c r="A940" s="144" t="s">
        <v>1787</v>
      </c>
      <c r="B940" s="144"/>
      <c r="C940" s="144" t="s">
        <v>630</v>
      </c>
      <c r="D940" s="146" t="s">
        <v>630</v>
      </c>
      <c r="E940" s="145" t="n">
        <v>38</v>
      </c>
      <c r="F940" s="145" t="n">
        <v>96</v>
      </c>
      <c r="G940" s="146" t="s">
        <v>236</v>
      </c>
    </row>
    <row r="941" customFormat="false" ht="15.75" hidden="false" customHeight="true" outlineLevel="0" collapsed="false">
      <c r="A941" s="144" t="s">
        <v>1788</v>
      </c>
      <c r="B941" s="144"/>
      <c r="C941" s="144" t="s">
        <v>630</v>
      </c>
      <c r="D941" s="146" t="s">
        <v>630</v>
      </c>
      <c r="E941" s="145" t="n">
        <v>38</v>
      </c>
      <c r="F941" s="145" t="n">
        <v>96</v>
      </c>
      <c r="G941" s="146" t="s">
        <v>236</v>
      </c>
    </row>
    <row r="942" customFormat="false" ht="15.75" hidden="false" customHeight="true" outlineLevel="0" collapsed="false">
      <c r="A942" s="144" t="s">
        <v>1789</v>
      </c>
      <c r="B942" s="144"/>
      <c r="C942" s="144" t="s">
        <v>630</v>
      </c>
      <c r="D942" s="146" t="s">
        <v>630</v>
      </c>
      <c r="E942" s="145" t="n">
        <v>38</v>
      </c>
      <c r="F942" s="145" t="n">
        <v>96</v>
      </c>
      <c r="G942" s="146" t="s">
        <v>236</v>
      </c>
    </row>
    <row r="943" customFormat="false" ht="15.75" hidden="false" customHeight="true" outlineLevel="0" collapsed="false">
      <c r="A943" s="144" t="s">
        <v>1790</v>
      </c>
      <c r="B943" s="144"/>
      <c r="C943" s="144" t="s">
        <v>630</v>
      </c>
      <c r="D943" s="146" t="s">
        <v>630</v>
      </c>
      <c r="E943" s="145" t="n">
        <v>38</v>
      </c>
      <c r="F943" s="145" t="n">
        <v>96</v>
      </c>
      <c r="G943" s="146" t="s">
        <v>236</v>
      </c>
    </row>
    <row r="944" customFormat="false" ht="15.75" hidden="false" customHeight="true" outlineLevel="0" collapsed="false">
      <c r="A944" s="144" t="s">
        <v>1791</v>
      </c>
      <c r="B944" s="144"/>
      <c r="C944" s="144" t="s">
        <v>630</v>
      </c>
      <c r="D944" s="146" t="s">
        <v>630</v>
      </c>
      <c r="E944" s="145" t="n">
        <v>38</v>
      </c>
      <c r="F944" s="145" t="n">
        <v>96</v>
      </c>
      <c r="G944" s="146" t="s">
        <v>236</v>
      </c>
    </row>
    <row r="945" customFormat="false" ht="15.75" hidden="false" customHeight="true" outlineLevel="0" collapsed="false">
      <c r="A945" s="144" t="s">
        <v>1792</v>
      </c>
      <c r="B945" s="144"/>
      <c r="C945" s="144" t="s">
        <v>714</v>
      </c>
      <c r="D945" s="146" t="s">
        <v>714</v>
      </c>
      <c r="E945" s="145" t="n">
        <v>5950</v>
      </c>
      <c r="F945" s="145" t="n">
        <v>10539</v>
      </c>
      <c r="G945" s="146" t="s">
        <v>236</v>
      </c>
    </row>
    <row r="946" customFormat="false" ht="15.75" hidden="false" customHeight="true" outlineLevel="0" collapsed="false">
      <c r="A946" s="144" t="s">
        <v>1793</v>
      </c>
      <c r="B946" s="144"/>
      <c r="C946" s="144" t="s">
        <v>630</v>
      </c>
      <c r="D946" s="146" t="s">
        <v>630</v>
      </c>
      <c r="E946" s="145" t="n">
        <v>38</v>
      </c>
      <c r="F946" s="145" t="n">
        <v>96</v>
      </c>
      <c r="G946" s="146" t="s">
        <v>236</v>
      </c>
    </row>
    <row r="947" customFormat="false" ht="15.75" hidden="false" customHeight="true" outlineLevel="0" collapsed="false">
      <c r="A947" s="144" t="s">
        <v>1794</v>
      </c>
      <c r="B947" s="144"/>
      <c r="C947" s="144" t="s">
        <v>630</v>
      </c>
      <c r="D947" s="146" t="s">
        <v>630</v>
      </c>
      <c r="E947" s="145" t="n">
        <v>38</v>
      </c>
      <c r="F947" s="145" t="n">
        <v>96</v>
      </c>
      <c r="G947" s="146" t="s">
        <v>236</v>
      </c>
    </row>
    <row r="948" customFormat="false" ht="15.75" hidden="false" customHeight="true" outlineLevel="0" collapsed="false">
      <c r="A948" s="144" t="s">
        <v>1795</v>
      </c>
      <c r="B948" s="144"/>
      <c r="C948" s="144" t="s">
        <v>630</v>
      </c>
      <c r="D948" s="146" t="s">
        <v>630</v>
      </c>
      <c r="E948" s="145" t="n">
        <v>38</v>
      </c>
      <c r="F948" s="145" t="n">
        <v>96</v>
      </c>
      <c r="G948" s="146" t="s">
        <v>236</v>
      </c>
    </row>
    <row r="949" customFormat="false" ht="15.75" hidden="false" customHeight="true" outlineLevel="0" collapsed="false">
      <c r="A949" s="144" t="s">
        <v>1796</v>
      </c>
      <c r="B949" s="144"/>
      <c r="C949" s="144" t="s">
        <v>630</v>
      </c>
      <c r="D949" s="146" t="s">
        <v>630</v>
      </c>
      <c r="E949" s="145" t="n">
        <v>38</v>
      </c>
      <c r="F949" s="145" t="n">
        <v>96</v>
      </c>
      <c r="G949" s="146" t="s">
        <v>236</v>
      </c>
    </row>
    <row r="950" customFormat="false" ht="15.75" hidden="false" customHeight="true" outlineLevel="0" collapsed="false">
      <c r="A950" s="144" t="s">
        <v>1797</v>
      </c>
      <c r="B950" s="144"/>
      <c r="C950" s="144" t="s">
        <v>630</v>
      </c>
      <c r="D950" s="146" t="s">
        <v>630</v>
      </c>
      <c r="E950" s="145" t="n">
        <v>38</v>
      </c>
      <c r="F950" s="145" t="n">
        <v>96</v>
      </c>
      <c r="G950" s="146" t="s">
        <v>236</v>
      </c>
    </row>
    <row r="951" customFormat="false" ht="15.75" hidden="false" customHeight="true" outlineLevel="0" collapsed="false">
      <c r="A951" s="144" t="s">
        <v>1798</v>
      </c>
      <c r="B951" s="144"/>
      <c r="C951" s="144" t="s">
        <v>714</v>
      </c>
      <c r="D951" s="146" t="s">
        <v>714</v>
      </c>
      <c r="E951" s="145" t="n">
        <v>5950</v>
      </c>
      <c r="F951" s="145" t="n">
        <v>10539</v>
      </c>
      <c r="G951" s="146" t="s">
        <v>236</v>
      </c>
    </row>
    <row r="952" customFormat="false" ht="15.75" hidden="false" customHeight="true" outlineLevel="0" collapsed="false">
      <c r="A952" s="144" t="s">
        <v>1799</v>
      </c>
      <c r="B952" s="144"/>
      <c r="C952" s="144" t="s">
        <v>714</v>
      </c>
      <c r="D952" s="146" t="s">
        <v>714</v>
      </c>
      <c r="E952" s="145" t="n">
        <v>5950</v>
      </c>
      <c r="F952" s="145" t="n">
        <v>10539</v>
      </c>
      <c r="G952" s="146" t="s">
        <v>236</v>
      </c>
    </row>
    <row r="953" customFormat="false" ht="15.75" hidden="false" customHeight="true" outlineLevel="0" collapsed="false">
      <c r="A953" s="144" t="s">
        <v>551</v>
      </c>
      <c r="B953" s="144" t="s">
        <v>1800</v>
      </c>
      <c r="C953" s="144"/>
      <c r="D953" s="146" t="s">
        <v>1800</v>
      </c>
      <c r="E953" s="145" t="n">
        <v>86</v>
      </c>
      <c r="F953" s="145" t="n">
        <v>86</v>
      </c>
      <c r="G953" s="146" t="s">
        <v>236</v>
      </c>
    </row>
    <row r="954" customFormat="false" ht="15.75" hidden="false" customHeight="true" outlineLevel="0" collapsed="false">
      <c r="A954" s="144" t="s">
        <v>1801</v>
      </c>
      <c r="B954" s="144"/>
      <c r="C954" s="144" t="s">
        <v>630</v>
      </c>
      <c r="D954" s="146" t="s">
        <v>630</v>
      </c>
      <c r="E954" s="145" t="n">
        <v>38</v>
      </c>
      <c r="F954" s="145" t="n">
        <v>96</v>
      </c>
      <c r="G954" s="146" t="s">
        <v>236</v>
      </c>
    </row>
    <row r="955" customFormat="false" ht="15.75" hidden="false" customHeight="true" outlineLevel="0" collapsed="false">
      <c r="A955" s="144" t="s">
        <v>1802</v>
      </c>
      <c r="B955" s="144"/>
      <c r="C955" s="144" t="s">
        <v>630</v>
      </c>
      <c r="D955" s="146" t="s">
        <v>630</v>
      </c>
      <c r="E955" s="145" t="n">
        <v>38</v>
      </c>
      <c r="F955" s="145" t="n">
        <v>96</v>
      </c>
      <c r="G955" s="146" t="s">
        <v>236</v>
      </c>
    </row>
    <row r="956" customFormat="false" ht="15.75" hidden="false" customHeight="true" outlineLevel="0" collapsed="false">
      <c r="A956" s="144" t="s">
        <v>1803</v>
      </c>
      <c r="B956" s="144"/>
      <c r="C956" s="144" t="s">
        <v>630</v>
      </c>
      <c r="D956" s="146" t="s">
        <v>630</v>
      </c>
      <c r="E956" s="145" t="n">
        <v>38</v>
      </c>
      <c r="F956" s="145" t="n">
        <v>96</v>
      </c>
      <c r="G956" s="146" t="s">
        <v>236</v>
      </c>
    </row>
    <row r="957" customFormat="false" ht="15.75" hidden="false" customHeight="true" outlineLevel="0" collapsed="false">
      <c r="A957" s="144" t="s">
        <v>1804</v>
      </c>
      <c r="B957" s="144"/>
      <c r="C957" s="144" t="s">
        <v>630</v>
      </c>
      <c r="D957" s="146" t="s">
        <v>630</v>
      </c>
      <c r="E957" s="145" t="n">
        <v>38</v>
      </c>
      <c r="F957" s="145" t="n">
        <v>96</v>
      </c>
      <c r="G957" s="146" t="s">
        <v>236</v>
      </c>
    </row>
    <row r="958" customFormat="false" ht="15.75" hidden="false" customHeight="true" outlineLevel="0" collapsed="false">
      <c r="A958" s="144" t="s">
        <v>1805</v>
      </c>
      <c r="B958" s="144"/>
      <c r="C958" s="144" t="s">
        <v>630</v>
      </c>
      <c r="D958" s="146" t="s">
        <v>630</v>
      </c>
      <c r="E958" s="145" t="n">
        <v>38</v>
      </c>
      <c r="F958" s="145" t="n">
        <v>96</v>
      </c>
      <c r="G958" s="146" t="s">
        <v>236</v>
      </c>
    </row>
    <row r="959" customFormat="false" ht="15.75" hidden="false" customHeight="true" outlineLevel="0" collapsed="false">
      <c r="A959" s="144" t="s">
        <v>1806</v>
      </c>
      <c r="B959" s="144"/>
      <c r="C959" s="144" t="s">
        <v>630</v>
      </c>
      <c r="D959" s="146" t="s">
        <v>630</v>
      </c>
      <c r="E959" s="145" t="n">
        <v>38</v>
      </c>
      <c r="F959" s="145" t="n">
        <v>96</v>
      </c>
      <c r="G959" s="146" t="s">
        <v>236</v>
      </c>
    </row>
    <row r="960" customFormat="false" ht="15.75" hidden="false" customHeight="true" outlineLevel="0" collapsed="false">
      <c r="A960" s="144" t="s">
        <v>1807</v>
      </c>
      <c r="B960" s="144"/>
      <c r="C960" s="144" t="s">
        <v>630</v>
      </c>
      <c r="D960" s="146" t="s">
        <v>630</v>
      </c>
      <c r="E960" s="145" t="n">
        <v>38</v>
      </c>
      <c r="F960" s="145" t="n">
        <v>96</v>
      </c>
      <c r="G960" s="146" t="s">
        <v>236</v>
      </c>
    </row>
    <row r="961" customFormat="false" ht="15.75" hidden="false" customHeight="true" outlineLevel="0" collapsed="false">
      <c r="A961" s="144" t="s">
        <v>1808</v>
      </c>
      <c r="B961" s="144"/>
      <c r="C961" s="144" t="s">
        <v>630</v>
      </c>
      <c r="D961" s="146" t="s">
        <v>630</v>
      </c>
      <c r="E961" s="145" t="n">
        <v>38</v>
      </c>
      <c r="F961" s="145" t="n">
        <v>96</v>
      </c>
      <c r="G961" s="146" t="s">
        <v>236</v>
      </c>
    </row>
    <row r="962" customFormat="false" ht="15.75" hidden="false" customHeight="true" outlineLevel="0" collapsed="false">
      <c r="A962" s="144" t="s">
        <v>1809</v>
      </c>
      <c r="B962" s="144"/>
      <c r="C962" s="144" t="s">
        <v>630</v>
      </c>
      <c r="D962" s="146" t="s">
        <v>630</v>
      </c>
      <c r="E962" s="145" t="n">
        <v>38</v>
      </c>
      <c r="F962" s="145" t="n">
        <v>96</v>
      </c>
      <c r="G962" s="146" t="s">
        <v>236</v>
      </c>
    </row>
    <row r="963" customFormat="false" ht="15.75" hidden="false" customHeight="true" outlineLevel="0" collapsed="false">
      <c r="A963" s="144" t="s">
        <v>1810</v>
      </c>
      <c r="B963" s="144"/>
      <c r="C963" s="144" t="s">
        <v>630</v>
      </c>
      <c r="D963" s="146" t="s">
        <v>630</v>
      </c>
      <c r="E963" s="145" t="n">
        <v>38</v>
      </c>
      <c r="F963" s="145" t="n">
        <v>96</v>
      </c>
      <c r="G963" s="146" t="s">
        <v>236</v>
      </c>
    </row>
    <row r="964" customFormat="false" ht="15.75" hidden="false" customHeight="true" outlineLevel="0" collapsed="false">
      <c r="A964" s="144" t="s">
        <v>1811</v>
      </c>
      <c r="B964" s="144"/>
      <c r="C964" s="144" t="s">
        <v>630</v>
      </c>
      <c r="D964" s="146" t="s">
        <v>630</v>
      </c>
      <c r="E964" s="145" t="n">
        <v>38</v>
      </c>
      <c r="F964" s="145" t="n">
        <v>96</v>
      </c>
      <c r="G964" s="146" t="s">
        <v>236</v>
      </c>
    </row>
    <row r="965" customFormat="false" ht="15.75" hidden="false" customHeight="true" outlineLevel="0" collapsed="false">
      <c r="A965" s="144" t="s">
        <v>1812</v>
      </c>
      <c r="B965" s="144" t="s">
        <v>1813</v>
      </c>
      <c r="C965" s="144"/>
      <c r="D965" s="146" t="s">
        <v>1813</v>
      </c>
      <c r="E965" s="145" t="n">
        <v>48</v>
      </c>
      <c r="F965" s="145" t="n">
        <v>81</v>
      </c>
      <c r="G965" s="146" t="s">
        <v>236</v>
      </c>
    </row>
    <row r="966" customFormat="false" ht="15.75" hidden="false" customHeight="true" outlineLevel="0" collapsed="false">
      <c r="A966" s="144" t="s">
        <v>1814</v>
      </c>
      <c r="B966" s="144"/>
      <c r="C966" s="144" t="s">
        <v>630</v>
      </c>
      <c r="D966" s="146" t="s">
        <v>630</v>
      </c>
      <c r="E966" s="145" t="n">
        <v>38</v>
      </c>
      <c r="F966" s="145" t="n">
        <v>96</v>
      </c>
      <c r="G966" s="146" t="s">
        <v>236</v>
      </c>
    </row>
    <row r="967" customFormat="false" ht="15.75" hidden="false" customHeight="true" outlineLevel="0" collapsed="false">
      <c r="A967" s="144" t="s">
        <v>1815</v>
      </c>
      <c r="B967" s="144"/>
      <c r="C967" s="144" t="s">
        <v>714</v>
      </c>
      <c r="D967" s="146" t="s">
        <v>714</v>
      </c>
      <c r="E967" s="145" t="n">
        <v>5950</v>
      </c>
      <c r="F967" s="145" t="n">
        <v>10539</v>
      </c>
      <c r="G967" s="146" t="s">
        <v>236</v>
      </c>
    </row>
    <row r="968" customFormat="false" ht="15.75" hidden="false" customHeight="true" outlineLevel="0" collapsed="false">
      <c r="A968" s="144" t="s">
        <v>1816</v>
      </c>
      <c r="B968" s="144" t="s">
        <v>1817</v>
      </c>
      <c r="C968" s="144"/>
      <c r="D968" s="146" t="s">
        <v>1817</v>
      </c>
      <c r="E968" s="145" t="n">
        <v>909</v>
      </c>
      <c r="F968" s="145" t="n">
        <v>9091</v>
      </c>
      <c r="G968" s="146" t="s">
        <v>236</v>
      </c>
    </row>
    <row r="969" customFormat="false" ht="15.75" hidden="false" customHeight="true" outlineLevel="0" collapsed="false">
      <c r="A969" s="144" t="s">
        <v>1818</v>
      </c>
      <c r="B969" s="144"/>
      <c r="C969" s="144" t="s">
        <v>714</v>
      </c>
      <c r="D969" s="146" t="s">
        <v>714</v>
      </c>
      <c r="E969" s="145" t="n">
        <v>5950</v>
      </c>
      <c r="F969" s="145" t="n">
        <v>10539</v>
      </c>
      <c r="G969" s="146" t="s">
        <v>236</v>
      </c>
    </row>
    <row r="970" customFormat="false" ht="15.75" hidden="false" customHeight="true" outlineLevel="0" collapsed="false">
      <c r="A970" s="144" t="s">
        <v>1819</v>
      </c>
      <c r="B970" s="144" t="s">
        <v>1820</v>
      </c>
      <c r="C970" s="144"/>
      <c r="D970" s="146" t="s">
        <v>1820</v>
      </c>
      <c r="E970" s="145" t="n">
        <v>18000</v>
      </c>
      <c r="F970" s="145" t="n">
        <v>18000</v>
      </c>
      <c r="G970" s="146" t="s">
        <v>236</v>
      </c>
    </row>
    <row r="971" customFormat="false" ht="15.75" hidden="false" customHeight="true" outlineLevel="0" collapsed="false">
      <c r="A971" s="144" t="s">
        <v>1821</v>
      </c>
      <c r="B971" s="144"/>
      <c r="C971" s="144" t="s">
        <v>630</v>
      </c>
      <c r="D971" s="146" t="s">
        <v>630</v>
      </c>
      <c r="E971" s="145" t="n">
        <v>38</v>
      </c>
      <c r="F971" s="145" t="n">
        <v>96</v>
      </c>
      <c r="G971" s="146" t="s">
        <v>236</v>
      </c>
    </row>
    <row r="972" customFormat="false" ht="15.75" hidden="false" customHeight="true" outlineLevel="0" collapsed="false">
      <c r="A972" s="144" t="s">
        <v>1822</v>
      </c>
      <c r="B972" s="144" t="s">
        <v>1823</v>
      </c>
      <c r="C972" s="144"/>
      <c r="D972" s="146" t="s">
        <v>1823</v>
      </c>
      <c r="E972" s="145" t="n">
        <v>90000</v>
      </c>
      <c r="F972" s="145" t="n">
        <v>150000</v>
      </c>
      <c r="G972" s="146" t="s">
        <v>236</v>
      </c>
    </row>
    <row r="973" customFormat="false" ht="15.75" hidden="false" customHeight="true" outlineLevel="0" collapsed="false">
      <c r="A973" s="144" t="s">
        <v>1824</v>
      </c>
      <c r="B973" s="144" t="s">
        <v>1825</v>
      </c>
      <c r="C973" s="144"/>
      <c r="D973" s="146" t="s">
        <v>1825</v>
      </c>
      <c r="E973" s="145" t="n">
        <v>523</v>
      </c>
      <c r="F973" s="145" t="n">
        <v>523</v>
      </c>
      <c r="G973" s="146" t="s">
        <v>236</v>
      </c>
    </row>
    <row r="974" customFormat="false" ht="15.75" hidden="false" customHeight="true" outlineLevel="0" collapsed="false">
      <c r="A974" s="144" t="s">
        <v>1826</v>
      </c>
      <c r="B974" s="144" t="s">
        <v>1827</v>
      </c>
      <c r="C974" s="144"/>
      <c r="D974" s="146" t="s">
        <v>1827</v>
      </c>
      <c r="E974" s="145" t="n">
        <v>1684</v>
      </c>
      <c r="F974" s="145" t="n">
        <v>19794</v>
      </c>
      <c r="G974" s="146" t="s">
        <v>236</v>
      </c>
    </row>
    <row r="975" customFormat="false" ht="15.75" hidden="false" customHeight="true" outlineLevel="0" collapsed="false">
      <c r="A975" s="144" t="s">
        <v>1828</v>
      </c>
      <c r="B975" s="144" t="s">
        <v>1829</v>
      </c>
      <c r="C975" s="144"/>
      <c r="D975" s="146" t="s">
        <v>1829</v>
      </c>
      <c r="E975" s="145" t="n">
        <v>1800</v>
      </c>
      <c r="F975" s="145" t="n">
        <v>3636</v>
      </c>
      <c r="G975" s="146" t="s">
        <v>236</v>
      </c>
    </row>
    <row r="976" customFormat="false" ht="15.75" hidden="false" customHeight="true" outlineLevel="0" collapsed="false">
      <c r="A976" s="144" t="s">
        <v>1830</v>
      </c>
      <c r="B976" s="144"/>
      <c r="C976" s="144" t="s">
        <v>630</v>
      </c>
      <c r="D976" s="146" t="s">
        <v>630</v>
      </c>
      <c r="E976" s="145" t="n">
        <v>38</v>
      </c>
      <c r="F976" s="145" t="n">
        <v>96</v>
      </c>
      <c r="G976" s="146" t="s">
        <v>236</v>
      </c>
    </row>
    <row r="977" customFormat="false" ht="15.75" hidden="false" customHeight="true" outlineLevel="0" collapsed="false">
      <c r="A977" s="144" t="s">
        <v>1831</v>
      </c>
      <c r="B977" s="144"/>
      <c r="C977" s="144" t="s">
        <v>630</v>
      </c>
      <c r="D977" s="146" t="s">
        <v>630</v>
      </c>
      <c r="E977" s="145" t="n">
        <v>38</v>
      </c>
      <c r="F977" s="145" t="n">
        <v>96</v>
      </c>
      <c r="G977" s="146" t="s">
        <v>236</v>
      </c>
    </row>
    <row r="978" customFormat="false" ht="15.75" hidden="false" customHeight="true" outlineLevel="0" collapsed="false">
      <c r="A978" s="144" t="s">
        <v>1832</v>
      </c>
      <c r="B978" s="144"/>
      <c r="C978" s="144" t="s">
        <v>630</v>
      </c>
      <c r="D978" s="146" t="s">
        <v>630</v>
      </c>
      <c r="E978" s="145" t="n">
        <v>38</v>
      </c>
      <c r="F978" s="145" t="n">
        <v>96</v>
      </c>
      <c r="G978" s="146" t="s">
        <v>236</v>
      </c>
    </row>
    <row r="979" customFormat="false" ht="15.75" hidden="false" customHeight="true" outlineLevel="0" collapsed="false">
      <c r="A979" s="144" t="s">
        <v>1833</v>
      </c>
      <c r="B979" s="144"/>
      <c r="C979" s="144" t="s">
        <v>630</v>
      </c>
      <c r="D979" s="146" t="s">
        <v>630</v>
      </c>
      <c r="E979" s="145" t="n">
        <v>38</v>
      </c>
      <c r="F979" s="145" t="n">
        <v>96</v>
      </c>
      <c r="G979" s="146" t="s">
        <v>236</v>
      </c>
    </row>
    <row r="980" customFormat="false" ht="15.75" hidden="false" customHeight="true" outlineLevel="0" collapsed="false">
      <c r="A980" s="144" t="s">
        <v>1834</v>
      </c>
      <c r="B980" s="144"/>
      <c r="C980" s="144" t="s">
        <v>630</v>
      </c>
      <c r="D980" s="146" t="s">
        <v>630</v>
      </c>
      <c r="E980" s="145" t="n">
        <v>38</v>
      </c>
      <c r="F980" s="145" t="n">
        <v>96</v>
      </c>
      <c r="G980" s="146" t="s">
        <v>236</v>
      </c>
    </row>
    <row r="981" customFormat="false" ht="15.75" hidden="false" customHeight="true" outlineLevel="0" collapsed="false">
      <c r="A981" s="144" t="s">
        <v>1835</v>
      </c>
      <c r="B981" s="144" t="s">
        <v>1836</v>
      </c>
      <c r="C981" s="144"/>
      <c r="D981" s="146" t="s">
        <v>1836</v>
      </c>
      <c r="E981" s="145" t="n">
        <v>3102</v>
      </c>
      <c r="F981" s="145" t="n">
        <v>3239</v>
      </c>
      <c r="G981" s="146" t="s">
        <v>236</v>
      </c>
    </row>
    <row r="982" customFormat="false" ht="15.75" hidden="false" customHeight="true" outlineLevel="0" collapsed="false">
      <c r="A982" s="144" t="s">
        <v>1837</v>
      </c>
      <c r="B982" s="144"/>
      <c r="C982" s="144" t="s">
        <v>630</v>
      </c>
      <c r="D982" s="146" t="s">
        <v>630</v>
      </c>
      <c r="E982" s="145" t="n">
        <v>38</v>
      </c>
      <c r="F982" s="145" t="n">
        <v>96</v>
      </c>
      <c r="G982" s="146" t="s">
        <v>236</v>
      </c>
    </row>
    <row r="983" customFormat="false" ht="15.75" hidden="false" customHeight="true" outlineLevel="0" collapsed="false">
      <c r="A983" s="144" t="s">
        <v>1838</v>
      </c>
      <c r="B983" s="144" t="s">
        <v>1839</v>
      </c>
      <c r="C983" s="144"/>
      <c r="D983" s="146" t="s">
        <v>1839</v>
      </c>
      <c r="E983" s="145" t="n">
        <v>2270</v>
      </c>
      <c r="F983" s="145" t="n">
        <v>4540</v>
      </c>
      <c r="G983" s="146" t="s">
        <v>236</v>
      </c>
    </row>
    <row r="984" customFormat="false" ht="15.75" hidden="false" customHeight="true" outlineLevel="0" collapsed="false">
      <c r="A984" s="144" t="s">
        <v>1840</v>
      </c>
      <c r="B984" s="144"/>
      <c r="C984" s="144" t="s">
        <v>630</v>
      </c>
      <c r="D984" s="146" t="s">
        <v>630</v>
      </c>
      <c r="E984" s="145" t="n">
        <v>38</v>
      </c>
      <c r="F984" s="145" t="n">
        <v>96</v>
      </c>
      <c r="G984" s="146" t="s">
        <v>236</v>
      </c>
    </row>
    <row r="985" customFormat="false" ht="15.75" hidden="false" customHeight="true" outlineLevel="0" collapsed="false">
      <c r="A985" s="144" t="s">
        <v>1841</v>
      </c>
      <c r="B985" s="144" t="s">
        <v>1842</v>
      </c>
      <c r="C985" s="144"/>
      <c r="D985" s="146" t="s">
        <v>1842</v>
      </c>
      <c r="E985" s="145" t="n">
        <v>113500</v>
      </c>
      <c r="F985" s="145" t="n">
        <v>113500</v>
      </c>
      <c r="G985" s="146" t="s">
        <v>236</v>
      </c>
    </row>
    <row r="986" customFormat="false" ht="15.75" hidden="false" customHeight="true" outlineLevel="0" collapsed="false">
      <c r="A986" s="144" t="s">
        <v>1843</v>
      </c>
      <c r="B986" s="144" t="s">
        <v>1844</v>
      </c>
      <c r="C986" s="144"/>
      <c r="D986" s="146" t="s">
        <v>1844</v>
      </c>
      <c r="E986" s="145" t="n">
        <v>1000</v>
      </c>
      <c r="F986" s="145" t="n">
        <v>2000</v>
      </c>
      <c r="G986" s="146" t="s">
        <v>236</v>
      </c>
    </row>
    <row r="987" customFormat="false" ht="15.75" hidden="false" customHeight="true" outlineLevel="0" collapsed="false">
      <c r="A987" s="144" t="s">
        <v>1845</v>
      </c>
      <c r="B987" s="144"/>
      <c r="C987" s="144" t="s">
        <v>630</v>
      </c>
      <c r="D987" s="146" t="s">
        <v>630</v>
      </c>
      <c r="E987" s="145" t="n">
        <v>38</v>
      </c>
      <c r="F987" s="145" t="n">
        <v>96</v>
      </c>
      <c r="G987" s="146" t="s">
        <v>236</v>
      </c>
    </row>
    <row r="988" customFormat="false" ht="15.75" hidden="false" customHeight="true" outlineLevel="0" collapsed="false">
      <c r="A988" s="144" t="s">
        <v>1846</v>
      </c>
      <c r="B988" s="144"/>
      <c r="C988" s="144" t="s">
        <v>630</v>
      </c>
      <c r="D988" s="146" t="s">
        <v>630</v>
      </c>
      <c r="E988" s="145" t="n">
        <v>38</v>
      </c>
      <c r="F988" s="145" t="n">
        <v>96</v>
      </c>
      <c r="G988" s="146" t="s">
        <v>236</v>
      </c>
    </row>
    <row r="989" customFormat="false" ht="15.75" hidden="false" customHeight="true" outlineLevel="0" collapsed="false">
      <c r="A989" s="144" t="s">
        <v>1847</v>
      </c>
      <c r="B989" s="144"/>
      <c r="C989" s="144" t="s">
        <v>714</v>
      </c>
      <c r="D989" s="146" t="s">
        <v>714</v>
      </c>
      <c r="E989" s="145" t="n">
        <v>5950</v>
      </c>
      <c r="F989" s="145" t="n">
        <v>10539</v>
      </c>
      <c r="G989" s="146" t="s">
        <v>236</v>
      </c>
    </row>
    <row r="990" customFormat="false" ht="15.75" hidden="false" customHeight="true" outlineLevel="0" collapsed="false">
      <c r="A990" s="144" t="s">
        <v>1848</v>
      </c>
      <c r="B990" s="144" t="s">
        <v>1849</v>
      </c>
      <c r="C990" s="144"/>
      <c r="D990" s="146" t="s">
        <v>1849</v>
      </c>
      <c r="E990" s="145" t="n">
        <v>524</v>
      </c>
      <c r="F990" s="145" t="n">
        <v>1790</v>
      </c>
      <c r="G990" s="146" t="s">
        <v>236</v>
      </c>
    </row>
    <row r="991" customFormat="false" ht="15.75" hidden="false" customHeight="true" outlineLevel="0" collapsed="false">
      <c r="A991" s="144" t="s">
        <v>1850</v>
      </c>
      <c r="B991" s="144"/>
      <c r="C991" s="144" t="s">
        <v>630</v>
      </c>
      <c r="D991" s="146" t="s">
        <v>630</v>
      </c>
      <c r="E991" s="145" t="n">
        <v>38</v>
      </c>
      <c r="F991" s="145" t="n">
        <v>96</v>
      </c>
      <c r="G991" s="146" t="s">
        <v>236</v>
      </c>
    </row>
    <row r="992" customFormat="false" ht="15.75" hidden="false" customHeight="true" outlineLevel="0" collapsed="false">
      <c r="A992" s="144" t="s">
        <v>1851</v>
      </c>
      <c r="B992" s="144"/>
      <c r="C992" s="144" t="s">
        <v>714</v>
      </c>
      <c r="D992" s="146" t="s">
        <v>714</v>
      </c>
      <c r="E992" s="145" t="n">
        <v>5950</v>
      </c>
      <c r="F992" s="145" t="n">
        <v>10539</v>
      </c>
      <c r="G992" s="146" t="s">
        <v>236</v>
      </c>
    </row>
    <row r="993" customFormat="false" ht="15.75" hidden="false" customHeight="true" outlineLevel="0" collapsed="false">
      <c r="A993" s="144" t="s">
        <v>1852</v>
      </c>
      <c r="B993" s="144"/>
      <c r="C993" s="144" t="s">
        <v>630</v>
      </c>
      <c r="D993" s="146" t="s">
        <v>630</v>
      </c>
      <c r="E993" s="145" t="n">
        <v>38</v>
      </c>
      <c r="F993" s="145" t="n">
        <v>96</v>
      </c>
      <c r="G993" s="146" t="s">
        <v>236</v>
      </c>
    </row>
    <row r="994" customFormat="false" ht="15.75" hidden="false" customHeight="true" outlineLevel="0" collapsed="false">
      <c r="A994" s="144" t="s">
        <v>1853</v>
      </c>
      <c r="B994" s="144" t="s">
        <v>1854</v>
      </c>
      <c r="C994" s="144"/>
      <c r="D994" s="146" t="s">
        <v>1854</v>
      </c>
      <c r="E994" s="145" t="n">
        <v>111</v>
      </c>
      <c r="F994" s="145" t="n">
        <v>460</v>
      </c>
      <c r="G994" s="146" t="s">
        <v>236</v>
      </c>
    </row>
    <row r="995" customFormat="false" ht="15.75" hidden="false" customHeight="true" outlineLevel="0" collapsed="false">
      <c r="A995" s="144" t="s">
        <v>1855</v>
      </c>
      <c r="B995" s="144"/>
      <c r="C995" s="144" t="s">
        <v>630</v>
      </c>
      <c r="D995" s="146" t="s">
        <v>630</v>
      </c>
      <c r="E995" s="145" t="n">
        <v>38</v>
      </c>
      <c r="F995" s="145" t="n">
        <v>96</v>
      </c>
      <c r="G995" s="146" t="s">
        <v>236</v>
      </c>
    </row>
    <row r="996" customFormat="false" ht="15.75" hidden="false" customHeight="true" outlineLevel="0" collapsed="false">
      <c r="A996" s="144" t="s">
        <v>1856</v>
      </c>
      <c r="B996" s="144"/>
      <c r="C996" s="144" t="s">
        <v>630</v>
      </c>
      <c r="D996" s="146" t="s">
        <v>630</v>
      </c>
      <c r="E996" s="145" t="n">
        <v>38</v>
      </c>
      <c r="F996" s="145" t="n">
        <v>96</v>
      </c>
      <c r="G996" s="146" t="s">
        <v>236</v>
      </c>
    </row>
    <row r="997" customFormat="false" ht="15.75" hidden="false" customHeight="true" outlineLevel="0" collapsed="false">
      <c r="A997" s="144" t="s">
        <v>1857</v>
      </c>
      <c r="B997" s="144" t="s">
        <v>1858</v>
      </c>
      <c r="C997" s="144"/>
      <c r="D997" s="146" t="s">
        <v>1858</v>
      </c>
      <c r="E997" s="145" t="n">
        <v>110</v>
      </c>
      <c r="F997" s="145" t="n">
        <v>149</v>
      </c>
      <c r="G997" s="146" t="s">
        <v>236</v>
      </c>
    </row>
    <row r="998" customFormat="false" ht="15.75" hidden="false" customHeight="true" outlineLevel="0" collapsed="false">
      <c r="A998" s="144" t="s">
        <v>1859</v>
      </c>
      <c r="B998" s="144"/>
      <c r="C998" s="144" t="s">
        <v>630</v>
      </c>
      <c r="D998" s="146" t="s">
        <v>630</v>
      </c>
      <c r="E998" s="145" t="n">
        <v>38</v>
      </c>
      <c r="F998" s="145" t="n">
        <v>96</v>
      </c>
      <c r="G998" s="146" t="s">
        <v>236</v>
      </c>
    </row>
    <row r="999" customFormat="false" ht="15.75" hidden="false" customHeight="true" outlineLevel="0" collapsed="false">
      <c r="A999" s="144" t="s">
        <v>1860</v>
      </c>
      <c r="B999" s="144" t="s">
        <v>1861</v>
      </c>
      <c r="C999" s="144"/>
      <c r="D999" s="146" t="s">
        <v>1861</v>
      </c>
      <c r="E999" s="145" t="n">
        <v>339</v>
      </c>
      <c r="F999" s="145" t="n">
        <v>462</v>
      </c>
      <c r="G999" s="146" t="s">
        <v>236</v>
      </c>
    </row>
    <row r="1000" customFormat="false" ht="15.75" hidden="false" customHeight="true" outlineLevel="0" collapsed="false">
      <c r="A1000" s="144" t="s">
        <v>1862</v>
      </c>
      <c r="B1000" s="144"/>
      <c r="C1000" s="144" t="s">
        <v>630</v>
      </c>
      <c r="D1000" s="146" t="s">
        <v>630</v>
      </c>
      <c r="E1000" s="145" t="n">
        <v>38</v>
      </c>
      <c r="F1000" s="145" t="n">
        <v>96</v>
      </c>
      <c r="G1000" s="146" t="s">
        <v>236</v>
      </c>
    </row>
    <row r="1001" customFormat="false" ht="15.75" hidden="false" customHeight="true" outlineLevel="0" collapsed="false">
      <c r="A1001" s="144" t="s">
        <v>1863</v>
      </c>
      <c r="B1001" s="144"/>
      <c r="C1001" s="144" t="s">
        <v>630</v>
      </c>
      <c r="D1001" s="146" t="s">
        <v>630</v>
      </c>
      <c r="E1001" s="145" t="n">
        <v>38</v>
      </c>
      <c r="F1001" s="145" t="n">
        <v>96</v>
      </c>
      <c r="G1001" s="146" t="s">
        <v>236</v>
      </c>
    </row>
    <row r="1002" customFormat="false" ht="15.75" hidden="false" customHeight="true" outlineLevel="0" collapsed="false">
      <c r="A1002" s="144" t="s">
        <v>1864</v>
      </c>
      <c r="B1002" s="144"/>
      <c r="C1002" s="144" t="s">
        <v>630</v>
      </c>
      <c r="D1002" s="146" t="s">
        <v>630</v>
      </c>
      <c r="E1002" s="145" t="n">
        <v>38</v>
      </c>
      <c r="F1002" s="145" t="n">
        <v>96</v>
      </c>
      <c r="G1002" s="146" t="s">
        <v>236</v>
      </c>
    </row>
    <row r="1003" customFormat="false" ht="15.75" hidden="false" customHeight="true" outlineLevel="0" collapsed="false">
      <c r="A1003" s="144" t="s">
        <v>1865</v>
      </c>
      <c r="B1003" s="144"/>
      <c r="C1003" s="144" t="s">
        <v>630</v>
      </c>
      <c r="D1003" s="146" t="s">
        <v>630</v>
      </c>
      <c r="E1003" s="145" t="n">
        <v>38</v>
      </c>
      <c r="F1003" s="145" t="n">
        <v>96</v>
      </c>
      <c r="G1003" s="146" t="s">
        <v>236</v>
      </c>
    </row>
    <row r="1004" customFormat="false" ht="15.75" hidden="false" customHeight="true" outlineLevel="0" collapsed="false">
      <c r="A1004" s="144" t="s">
        <v>1866</v>
      </c>
      <c r="B1004" s="144"/>
      <c r="C1004" s="144" t="s">
        <v>630</v>
      </c>
      <c r="D1004" s="146" t="s">
        <v>630</v>
      </c>
      <c r="E1004" s="145" t="n">
        <v>38</v>
      </c>
      <c r="F1004" s="145" t="n">
        <v>96</v>
      </c>
      <c r="G1004" s="146" t="s">
        <v>236</v>
      </c>
    </row>
    <row r="1005" customFormat="false" ht="15.75" hidden="false" customHeight="true" outlineLevel="0" collapsed="false">
      <c r="A1005" s="144" t="s">
        <v>1867</v>
      </c>
      <c r="B1005" s="144" t="s">
        <v>1868</v>
      </c>
      <c r="C1005" s="144"/>
      <c r="D1005" s="146" t="s">
        <v>1868</v>
      </c>
      <c r="E1005" s="145" t="n">
        <v>160000</v>
      </c>
      <c r="F1005" s="145" t="n">
        <v>160000</v>
      </c>
      <c r="G1005" s="146" t="s">
        <v>236</v>
      </c>
    </row>
    <row r="1006" customFormat="false" ht="15.75" hidden="false" customHeight="true" outlineLevel="0" collapsed="false">
      <c r="A1006" s="144" t="s">
        <v>1869</v>
      </c>
      <c r="B1006" s="144" t="s">
        <v>1870</v>
      </c>
      <c r="C1006" s="144"/>
      <c r="D1006" s="146" t="s">
        <v>1870</v>
      </c>
      <c r="E1006" s="145" t="n">
        <v>7260</v>
      </c>
      <c r="F1006" s="145" t="n">
        <v>9900</v>
      </c>
      <c r="G1006" s="146" t="s">
        <v>236</v>
      </c>
    </row>
    <row r="1007" customFormat="false" ht="15.75" hidden="false" customHeight="true" outlineLevel="0" collapsed="false">
      <c r="A1007" s="144" t="s">
        <v>1871</v>
      </c>
      <c r="B1007" s="144" t="s">
        <v>1872</v>
      </c>
      <c r="C1007" s="144"/>
      <c r="D1007" s="146" t="s">
        <v>1872</v>
      </c>
      <c r="E1007" s="145" t="n">
        <v>454</v>
      </c>
      <c r="F1007" s="145" t="n">
        <v>909</v>
      </c>
      <c r="G1007" s="146" t="s">
        <v>236</v>
      </c>
    </row>
    <row r="1008" customFormat="false" ht="15.75" hidden="false" customHeight="true" outlineLevel="0" collapsed="false">
      <c r="A1008" s="144" t="s">
        <v>1873</v>
      </c>
      <c r="B1008" s="144"/>
      <c r="C1008" s="144" t="s">
        <v>714</v>
      </c>
      <c r="D1008" s="146" t="s">
        <v>714</v>
      </c>
      <c r="E1008" s="145" t="n">
        <v>5950</v>
      </c>
      <c r="F1008" s="145" t="n">
        <v>10539</v>
      </c>
      <c r="G1008" s="146" t="s">
        <v>236</v>
      </c>
    </row>
    <row r="1009" customFormat="false" ht="15.75" hidden="false" customHeight="true" outlineLevel="0" collapsed="false">
      <c r="A1009" s="144" t="s">
        <v>1874</v>
      </c>
      <c r="B1009" s="144"/>
      <c r="C1009" s="144" t="s">
        <v>630</v>
      </c>
      <c r="D1009" s="146" t="s">
        <v>630</v>
      </c>
      <c r="E1009" s="145" t="n">
        <v>38</v>
      </c>
      <c r="F1009" s="145" t="n">
        <v>96</v>
      </c>
      <c r="G1009" s="146" t="s">
        <v>236</v>
      </c>
    </row>
    <row r="1010" customFormat="false" ht="15.75" hidden="false" customHeight="true" outlineLevel="0" collapsed="false">
      <c r="A1010" s="144" t="s">
        <v>1875</v>
      </c>
      <c r="B1010" s="144"/>
      <c r="C1010" s="144" t="s">
        <v>630</v>
      </c>
      <c r="D1010" s="146" t="s">
        <v>630</v>
      </c>
      <c r="E1010" s="145" t="n">
        <v>38</v>
      </c>
      <c r="F1010" s="145" t="n">
        <v>96</v>
      </c>
      <c r="G1010" s="146" t="s">
        <v>236</v>
      </c>
    </row>
    <row r="1011" customFormat="false" ht="15.75" hidden="false" customHeight="true" outlineLevel="0" collapsed="false">
      <c r="A1011" s="144" t="s">
        <v>1876</v>
      </c>
      <c r="B1011" s="144" t="s">
        <v>1877</v>
      </c>
      <c r="C1011" s="144"/>
      <c r="D1011" s="146" t="s">
        <v>1877</v>
      </c>
      <c r="E1011" s="145" t="n">
        <v>300</v>
      </c>
      <c r="F1011" s="145" t="n">
        <v>800</v>
      </c>
      <c r="G1011" s="146" t="s">
        <v>236</v>
      </c>
    </row>
    <row r="1012" customFormat="false" ht="15.75" hidden="false" customHeight="true" outlineLevel="0" collapsed="false">
      <c r="A1012" s="144" t="s">
        <v>1878</v>
      </c>
      <c r="B1012" s="144" t="s">
        <v>1879</v>
      </c>
      <c r="C1012" s="144"/>
      <c r="D1012" s="146" t="s">
        <v>1879</v>
      </c>
      <c r="E1012" s="145" t="n">
        <v>1242</v>
      </c>
      <c r="F1012" s="145" t="n">
        <v>4253</v>
      </c>
      <c r="G1012" s="146" t="s">
        <v>236</v>
      </c>
    </row>
    <row r="1013" customFormat="false" ht="15.75" hidden="false" customHeight="true" outlineLevel="0" collapsed="false">
      <c r="A1013" s="144" t="s">
        <v>1880</v>
      </c>
      <c r="B1013" s="144"/>
      <c r="C1013" s="144" t="s">
        <v>630</v>
      </c>
      <c r="D1013" s="146" t="s">
        <v>630</v>
      </c>
      <c r="E1013" s="145" t="n">
        <v>38</v>
      </c>
      <c r="F1013" s="145" t="n">
        <v>96</v>
      </c>
      <c r="G1013" s="146" t="s">
        <v>236</v>
      </c>
    </row>
    <row r="1014" customFormat="false" ht="15.75" hidden="false" customHeight="true" outlineLevel="0" collapsed="false">
      <c r="A1014" s="144" t="s">
        <v>1881</v>
      </c>
      <c r="B1014" s="144"/>
      <c r="C1014" s="144" t="s">
        <v>630</v>
      </c>
      <c r="D1014" s="146" t="s">
        <v>630</v>
      </c>
      <c r="E1014" s="145" t="n">
        <v>38</v>
      </c>
      <c r="F1014" s="145" t="n">
        <v>96</v>
      </c>
      <c r="G1014" s="146" t="s">
        <v>236</v>
      </c>
    </row>
    <row r="1015" customFormat="false" ht="15.75" hidden="false" customHeight="true" outlineLevel="0" collapsed="false">
      <c r="A1015" s="144" t="s">
        <v>1882</v>
      </c>
      <c r="B1015" s="144"/>
      <c r="C1015" s="144" t="s">
        <v>630</v>
      </c>
      <c r="D1015" s="146" t="s">
        <v>630</v>
      </c>
      <c r="E1015" s="145" t="n">
        <v>38</v>
      </c>
      <c r="F1015" s="145" t="n">
        <v>96</v>
      </c>
      <c r="G1015" s="146" t="s">
        <v>236</v>
      </c>
    </row>
    <row r="1016" customFormat="false" ht="15.75" hidden="false" customHeight="true" outlineLevel="0" collapsed="false">
      <c r="A1016" s="144" t="s">
        <v>1883</v>
      </c>
      <c r="B1016" s="144"/>
      <c r="C1016" s="144" t="s">
        <v>630</v>
      </c>
      <c r="D1016" s="146" t="s">
        <v>630</v>
      </c>
      <c r="E1016" s="145" t="n">
        <v>38</v>
      </c>
      <c r="F1016" s="145" t="n">
        <v>96</v>
      </c>
      <c r="G1016" s="146" t="s">
        <v>236</v>
      </c>
    </row>
    <row r="1017" customFormat="false" ht="15.75" hidden="false" customHeight="true" outlineLevel="0" collapsed="false">
      <c r="A1017" s="144" t="s">
        <v>1884</v>
      </c>
      <c r="B1017" s="144"/>
      <c r="C1017" s="144" t="s">
        <v>714</v>
      </c>
      <c r="D1017" s="146" t="s">
        <v>714</v>
      </c>
      <c r="E1017" s="145" t="n">
        <v>5950</v>
      </c>
      <c r="F1017" s="145" t="n">
        <v>10539</v>
      </c>
      <c r="G1017" s="146" t="s">
        <v>236</v>
      </c>
    </row>
    <row r="1018" customFormat="false" ht="15.75" hidden="false" customHeight="true" outlineLevel="0" collapsed="false">
      <c r="A1018" s="144" t="s">
        <v>1885</v>
      </c>
      <c r="B1018" s="144" t="s">
        <v>1886</v>
      </c>
      <c r="C1018" s="144"/>
      <c r="D1018" s="146" t="s">
        <v>1886</v>
      </c>
      <c r="E1018" s="145" t="n">
        <v>247</v>
      </c>
      <c r="F1018" s="145" t="n">
        <v>247</v>
      </c>
      <c r="G1018" s="146" t="s">
        <v>236</v>
      </c>
    </row>
    <row r="1019" customFormat="false" ht="15.75" hidden="false" customHeight="true" outlineLevel="0" collapsed="false">
      <c r="A1019" s="144" t="s">
        <v>1887</v>
      </c>
      <c r="B1019" s="144"/>
      <c r="C1019" s="144" t="s">
        <v>630</v>
      </c>
      <c r="D1019" s="146" t="s">
        <v>630</v>
      </c>
      <c r="E1019" s="145" t="n">
        <v>38</v>
      </c>
      <c r="F1019" s="145" t="n">
        <v>96</v>
      </c>
      <c r="G1019" s="146" t="s">
        <v>236</v>
      </c>
    </row>
    <row r="1020" customFormat="false" ht="15.75" hidden="false" customHeight="true" outlineLevel="0" collapsed="false">
      <c r="A1020" s="144" t="s">
        <v>1888</v>
      </c>
      <c r="B1020" s="144"/>
      <c r="C1020" s="144" t="s">
        <v>630</v>
      </c>
      <c r="D1020" s="146" t="s">
        <v>630</v>
      </c>
      <c r="E1020" s="145" t="n">
        <v>38</v>
      </c>
      <c r="F1020" s="145" t="n">
        <v>96</v>
      </c>
      <c r="G1020" s="146" t="s">
        <v>236</v>
      </c>
    </row>
    <row r="1021" customFormat="false" ht="15.75" hidden="false" customHeight="true" outlineLevel="0" collapsed="false">
      <c r="A1021" s="144" t="s">
        <v>1889</v>
      </c>
      <c r="B1021" s="144"/>
      <c r="C1021" s="144" t="s">
        <v>630</v>
      </c>
      <c r="D1021" s="146" t="s">
        <v>630</v>
      </c>
      <c r="E1021" s="145" t="n">
        <v>38</v>
      </c>
      <c r="F1021" s="145" t="n">
        <v>96</v>
      </c>
      <c r="G1021" s="146" t="s">
        <v>236</v>
      </c>
    </row>
    <row r="1022" customFormat="false" ht="15.75" hidden="false" customHeight="true" outlineLevel="0" collapsed="false">
      <c r="A1022" s="144" t="s">
        <v>1890</v>
      </c>
      <c r="B1022" s="144"/>
      <c r="C1022" s="144" t="s">
        <v>630</v>
      </c>
      <c r="D1022" s="146" t="s">
        <v>630</v>
      </c>
      <c r="E1022" s="145" t="n">
        <v>38</v>
      </c>
      <c r="F1022" s="145" t="n">
        <v>96</v>
      </c>
      <c r="G1022" s="146" t="s">
        <v>236</v>
      </c>
    </row>
    <row r="1023" customFormat="false" ht="15.75" hidden="false" customHeight="true" outlineLevel="0" collapsed="false">
      <c r="A1023" s="144" t="s">
        <v>1891</v>
      </c>
      <c r="B1023" s="144"/>
      <c r="C1023" s="144" t="s">
        <v>630</v>
      </c>
      <c r="D1023" s="146" t="s">
        <v>630</v>
      </c>
      <c r="E1023" s="145" t="n">
        <v>38</v>
      </c>
      <c r="F1023" s="145" t="n">
        <v>96</v>
      </c>
      <c r="G1023" s="146" t="s">
        <v>236</v>
      </c>
    </row>
    <row r="1024" customFormat="false" ht="15.75" hidden="false" customHeight="true" outlineLevel="0" collapsed="false">
      <c r="A1024" s="144" t="s">
        <v>1892</v>
      </c>
      <c r="B1024" s="144"/>
      <c r="C1024" s="144" t="s">
        <v>630</v>
      </c>
      <c r="D1024" s="146" t="s">
        <v>630</v>
      </c>
      <c r="E1024" s="145" t="n">
        <v>38</v>
      </c>
      <c r="F1024" s="145" t="n">
        <v>96</v>
      </c>
      <c r="G1024" s="146" t="s">
        <v>236</v>
      </c>
    </row>
    <row r="1025" customFormat="false" ht="15.75" hidden="false" customHeight="true" outlineLevel="0" collapsed="false">
      <c r="A1025" s="144" t="s">
        <v>1893</v>
      </c>
      <c r="B1025" s="144"/>
      <c r="C1025" s="144" t="s">
        <v>630</v>
      </c>
      <c r="D1025" s="146" t="s">
        <v>630</v>
      </c>
      <c r="E1025" s="145" t="n">
        <v>38</v>
      </c>
      <c r="F1025" s="145" t="n">
        <v>96</v>
      </c>
      <c r="G1025" s="146" t="s">
        <v>236</v>
      </c>
    </row>
    <row r="1026" customFormat="false" ht="15.75" hidden="false" customHeight="true" outlineLevel="0" collapsed="false">
      <c r="A1026" s="144" t="s">
        <v>1894</v>
      </c>
      <c r="B1026" s="144"/>
      <c r="C1026" s="144" t="s">
        <v>714</v>
      </c>
      <c r="D1026" s="146" t="s">
        <v>714</v>
      </c>
      <c r="E1026" s="145" t="n">
        <v>5950</v>
      </c>
      <c r="F1026" s="145" t="n">
        <v>10539</v>
      </c>
      <c r="G1026" s="146" t="s">
        <v>236</v>
      </c>
    </row>
    <row r="1027" customFormat="false" ht="15.75" hidden="false" customHeight="true" outlineLevel="0" collapsed="false">
      <c r="A1027" s="144" t="s">
        <v>1895</v>
      </c>
      <c r="B1027" s="144"/>
      <c r="C1027" s="144" t="s">
        <v>630</v>
      </c>
      <c r="D1027" s="146" t="s">
        <v>630</v>
      </c>
      <c r="E1027" s="145" t="n">
        <v>38</v>
      </c>
      <c r="F1027" s="145" t="n">
        <v>96</v>
      </c>
      <c r="G1027" s="146" t="s">
        <v>236</v>
      </c>
    </row>
    <row r="1028" customFormat="false" ht="15.75" hidden="false" customHeight="true" outlineLevel="0" collapsed="false">
      <c r="A1028" s="144" t="s">
        <v>1896</v>
      </c>
      <c r="B1028" s="144" t="s">
        <v>1897</v>
      </c>
      <c r="C1028" s="144"/>
      <c r="D1028" s="146" t="s">
        <v>1897</v>
      </c>
      <c r="E1028" s="145" t="n">
        <v>115102</v>
      </c>
      <c r="F1028" s="145" t="n">
        <v>115102</v>
      </c>
      <c r="G1028" s="146" t="s">
        <v>236</v>
      </c>
    </row>
    <row r="1029" customFormat="false" ht="15.75" hidden="false" customHeight="true" outlineLevel="0" collapsed="false">
      <c r="A1029" s="144" t="s">
        <v>1898</v>
      </c>
      <c r="B1029" s="144" t="s">
        <v>1899</v>
      </c>
      <c r="C1029" s="144"/>
      <c r="D1029" s="146" t="s">
        <v>1899</v>
      </c>
      <c r="E1029" s="145" t="n">
        <v>5232</v>
      </c>
      <c r="F1029" s="145" t="n">
        <v>44213</v>
      </c>
      <c r="G1029" s="146" t="s">
        <v>236</v>
      </c>
    </row>
    <row r="1030" customFormat="false" ht="15.75" hidden="false" customHeight="true" outlineLevel="0" collapsed="false">
      <c r="A1030" s="144" t="s">
        <v>1900</v>
      </c>
      <c r="B1030" s="144"/>
      <c r="C1030" s="144" t="s">
        <v>630</v>
      </c>
      <c r="D1030" s="146" t="s">
        <v>630</v>
      </c>
      <c r="E1030" s="145" t="n">
        <v>38</v>
      </c>
      <c r="F1030" s="145" t="n">
        <v>96</v>
      </c>
      <c r="G1030" s="146" t="s">
        <v>236</v>
      </c>
    </row>
    <row r="1031" customFormat="false" ht="15.75" hidden="false" customHeight="true" outlineLevel="0" collapsed="false">
      <c r="A1031" s="144" t="s">
        <v>1901</v>
      </c>
      <c r="B1031" s="144"/>
      <c r="C1031" s="144" t="s">
        <v>630</v>
      </c>
      <c r="D1031" s="146" t="s">
        <v>630</v>
      </c>
      <c r="E1031" s="145" t="n">
        <v>38</v>
      </c>
      <c r="F1031" s="145" t="n">
        <v>96</v>
      </c>
      <c r="G1031" s="146" t="s">
        <v>236</v>
      </c>
    </row>
    <row r="1032" customFormat="false" ht="15.75" hidden="false" customHeight="true" outlineLevel="0" collapsed="false">
      <c r="A1032" s="144" t="s">
        <v>1902</v>
      </c>
      <c r="B1032" s="144"/>
      <c r="C1032" s="144" t="s">
        <v>630</v>
      </c>
      <c r="D1032" s="146" t="s">
        <v>630</v>
      </c>
      <c r="E1032" s="145" t="n">
        <v>38</v>
      </c>
      <c r="F1032" s="145" t="n">
        <v>96</v>
      </c>
      <c r="G1032" s="146" t="s">
        <v>236</v>
      </c>
    </row>
    <row r="1033" customFormat="false" ht="15.75" hidden="false" customHeight="true" outlineLevel="0" collapsed="false">
      <c r="A1033" s="144" t="s">
        <v>1903</v>
      </c>
      <c r="B1033" s="233" t="s">
        <v>833</v>
      </c>
      <c r="C1033" s="144"/>
      <c r="D1033" s="146" t="s">
        <v>833</v>
      </c>
      <c r="E1033" s="145" t="n">
        <v>3</v>
      </c>
      <c r="F1033" s="145" t="n">
        <v>4</v>
      </c>
      <c r="G1033" s="146" t="s">
        <v>236</v>
      </c>
    </row>
    <row r="1034" customFormat="false" ht="15.75" hidden="false" customHeight="true" outlineLevel="0" collapsed="false">
      <c r="A1034" s="144" t="s">
        <v>1904</v>
      </c>
      <c r="B1034" s="144"/>
      <c r="C1034" s="144" t="s">
        <v>630</v>
      </c>
      <c r="D1034" s="146" t="s">
        <v>630</v>
      </c>
      <c r="E1034" s="145" t="n">
        <v>38</v>
      </c>
      <c r="F1034" s="145" t="n">
        <v>96</v>
      </c>
      <c r="G1034" s="146" t="s">
        <v>236</v>
      </c>
    </row>
    <row r="1035" customFormat="false" ht="15.75" hidden="false" customHeight="true" outlineLevel="0" collapsed="false">
      <c r="A1035" s="144" t="s">
        <v>1905</v>
      </c>
      <c r="B1035" s="144"/>
      <c r="C1035" s="144" t="s">
        <v>630</v>
      </c>
      <c r="D1035" s="146" t="s">
        <v>630</v>
      </c>
      <c r="E1035" s="145" t="n">
        <v>38</v>
      </c>
      <c r="F1035" s="145" t="n">
        <v>96</v>
      </c>
      <c r="G1035" s="146" t="s">
        <v>236</v>
      </c>
    </row>
    <row r="1036" customFormat="false" ht="15.75" hidden="false" customHeight="true" outlineLevel="0" collapsed="false">
      <c r="A1036" s="144" t="s">
        <v>1906</v>
      </c>
      <c r="B1036" s="144"/>
      <c r="C1036" s="144" t="s">
        <v>630</v>
      </c>
      <c r="D1036" s="146" t="s">
        <v>630</v>
      </c>
      <c r="E1036" s="145" t="n">
        <v>38</v>
      </c>
      <c r="F1036" s="145" t="n">
        <v>96</v>
      </c>
      <c r="G1036" s="146" t="s">
        <v>236</v>
      </c>
    </row>
    <row r="1037" customFormat="false" ht="15.75" hidden="false" customHeight="true" outlineLevel="0" collapsed="false">
      <c r="A1037" s="144" t="s">
        <v>1907</v>
      </c>
      <c r="B1037" s="144"/>
      <c r="C1037" s="144" t="s">
        <v>714</v>
      </c>
      <c r="D1037" s="146" t="s">
        <v>714</v>
      </c>
      <c r="E1037" s="145" t="n">
        <v>5950</v>
      </c>
      <c r="F1037" s="145" t="n">
        <v>10539</v>
      </c>
      <c r="G1037" s="146" t="s">
        <v>236</v>
      </c>
    </row>
    <row r="1038" customFormat="false" ht="15.75" hidden="false" customHeight="true" outlineLevel="0" collapsed="false">
      <c r="A1038" s="144" t="s">
        <v>1908</v>
      </c>
      <c r="B1038" s="144"/>
      <c r="C1038" s="144" t="s">
        <v>630</v>
      </c>
      <c r="D1038" s="146" t="s">
        <v>630</v>
      </c>
      <c r="E1038" s="145" t="n">
        <v>38</v>
      </c>
      <c r="F1038" s="145" t="n">
        <v>96</v>
      </c>
      <c r="G1038" s="146" t="s">
        <v>236</v>
      </c>
    </row>
    <row r="1039" customFormat="false" ht="15.75" hidden="false" customHeight="true" outlineLevel="0" collapsed="false">
      <c r="A1039" s="144" t="s">
        <v>1909</v>
      </c>
      <c r="B1039" s="144" t="s">
        <v>1910</v>
      </c>
      <c r="C1039" s="144"/>
      <c r="D1039" s="146" t="s">
        <v>1910</v>
      </c>
      <c r="E1039" s="145" t="n">
        <v>21</v>
      </c>
      <c r="F1039" s="145" t="n">
        <v>361</v>
      </c>
      <c r="G1039" s="146" t="s">
        <v>236</v>
      </c>
    </row>
    <row r="1040" customFormat="false" ht="15.75" hidden="false" customHeight="true" outlineLevel="0" collapsed="false">
      <c r="A1040" s="144" t="s">
        <v>1911</v>
      </c>
      <c r="B1040" s="144" t="s">
        <v>1912</v>
      </c>
      <c r="C1040" s="144"/>
      <c r="D1040" s="146" t="s">
        <v>1912</v>
      </c>
      <c r="E1040" s="145" t="n">
        <v>87</v>
      </c>
      <c r="F1040" s="145" t="n">
        <v>116</v>
      </c>
      <c r="G1040" s="146" t="s">
        <v>236</v>
      </c>
    </row>
    <row r="1041" customFormat="false" ht="15.75" hidden="false" customHeight="true" outlineLevel="0" collapsed="false">
      <c r="A1041" s="144" t="s">
        <v>1913</v>
      </c>
      <c r="B1041" s="144"/>
      <c r="C1041" s="144" t="s">
        <v>630</v>
      </c>
      <c r="D1041" s="146" t="s">
        <v>630</v>
      </c>
      <c r="E1041" s="145" t="n">
        <v>38</v>
      </c>
      <c r="F1041" s="145" t="n">
        <v>96</v>
      </c>
      <c r="G1041" s="146" t="s">
        <v>236</v>
      </c>
    </row>
    <row r="1042" customFormat="false" ht="15.75" hidden="false" customHeight="true" outlineLevel="0" collapsed="false">
      <c r="A1042" s="144" t="s">
        <v>1914</v>
      </c>
      <c r="B1042" s="144"/>
      <c r="C1042" s="144" t="s">
        <v>630</v>
      </c>
      <c r="D1042" s="146" t="s">
        <v>630</v>
      </c>
      <c r="E1042" s="145" t="n">
        <v>38</v>
      </c>
      <c r="F1042" s="145" t="n">
        <v>96</v>
      </c>
      <c r="G1042" s="146" t="s">
        <v>236</v>
      </c>
    </row>
    <row r="1043" customFormat="false" ht="15.75" hidden="false" customHeight="true" outlineLevel="0" collapsed="false">
      <c r="A1043" s="144" t="s">
        <v>1915</v>
      </c>
      <c r="B1043" s="144"/>
      <c r="C1043" s="144" t="s">
        <v>630</v>
      </c>
      <c r="D1043" s="146" t="s">
        <v>630</v>
      </c>
      <c r="E1043" s="145" t="n">
        <v>38</v>
      </c>
      <c r="F1043" s="145" t="n">
        <v>96</v>
      </c>
      <c r="G1043" s="146" t="s">
        <v>236</v>
      </c>
    </row>
    <row r="1044" customFormat="false" ht="15.75" hidden="false" customHeight="true" outlineLevel="0" collapsed="false">
      <c r="A1044" s="144" t="s">
        <v>1916</v>
      </c>
      <c r="B1044" s="144"/>
      <c r="C1044" s="144" t="s">
        <v>630</v>
      </c>
      <c r="D1044" s="146" t="s">
        <v>630</v>
      </c>
      <c r="E1044" s="145" t="n">
        <v>38</v>
      </c>
      <c r="F1044" s="145" t="n">
        <v>96</v>
      </c>
      <c r="G1044" s="146" t="s">
        <v>236</v>
      </c>
    </row>
    <row r="1045" customFormat="false" ht="15.75" hidden="false" customHeight="true" outlineLevel="0" collapsed="false">
      <c r="A1045" s="144" t="s">
        <v>1917</v>
      </c>
      <c r="B1045" s="144" t="s">
        <v>1918</v>
      </c>
      <c r="C1045" s="144"/>
      <c r="D1045" s="146" t="s">
        <v>1918</v>
      </c>
      <c r="E1045" s="145" t="n">
        <v>4540</v>
      </c>
      <c r="F1045" s="145" t="n">
        <v>4540</v>
      </c>
      <c r="G1045" s="146" t="s">
        <v>236</v>
      </c>
    </row>
    <row r="1046" customFormat="false" ht="15.75" hidden="false" customHeight="true" outlineLevel="0" collapsed="false">
      <c r="A1046" s="144" t="s">
        <v>1919</v>
      </c>
      <c r="B1046" s="144"/>
      <c r="C1046" s="144" t="s">
        <v>630</v>
      </c>
      <c r="D1046" s="146" t="s">
        <v>630</v>
      </c>
      <c r="E1046" s="145" t="n">
        <v>38</v>
      </c>
      <c r="F1046" s="145" t="n">
        <v>96</v>
      </c>
      <c r="G1046" s="146" t="s">
        <v>236</v>
      </c>
    </row>
    <row r="1047" customFormat="false" ht="15.75" hidden="false" customHeight="true" outlineLevel="0" collapsed="false">
      <c r="A1047" s="144" t="s">
        <v>1920</v>
      </c>
      <c r="B1047" s="144" t="s">
        <v>1921</v>
      </c>
      <c r="C1047" s="144"/>
      <c r="D1047" s="146" t="s">
        <v>1921</v>
      </c>
      <c r="E1047" s="145" t="n">
        <v>190000</v>
      </c>
      <c r="F1047" s="145" t="n">
        <v>190000</v>
      </c>
      <c r="G1047" s="146" t="s">
        <v>236</v>
      </c>
    </row>
    <row r="1048" customFormat="false" ht="15.75" hidden="false" customHeight="true" outlineLevel="0" collapsed="false">
      <c r="A1048" s="144" t="s">
        <v>1922</v>
      </c>
      <c r="B1048" s="144"/>
      <c r="C1048" s="144" t="s">
        <v>630</v>
      </c>
      <c r="D1048" s="146" t="s">
        <v>630</v>
      </c>
      <c r="E1048" s="145" t="n">
        <v>38</v>
      </c>
      <c r="F1048" s="145" t="n">
        <v>96</v>
      </c>
      <c r="G1048" s="146" t="s">
        <v>236</v>
      </c>
    </row>
    <row r="1049" customFormat="false" ht="15.75" hidden="false" customHeight="true" outlineLevel="0" collapsed="false">
      <c r="A1049" s="144" t="s">
        <v>1923</v>
      </c>
      <c r="B1049" s="144"/>
      <c r="C1049" s="144" t="s">
        <v>630</v>
      </c>
      <c r="D1049" s="146" t="s">
        <v>630</v>
      </c>
      <c r="E1049" s="145" t="n">
        <v>38</v>
      </c>
      <c r="F1049" s="145" t="n">
        <v>96</v>
      </c>
      <c r="G1049" s="146" t="s">
        <v>236</v>
      </c>
    </row>
    <row r="1050" customFormat="false" ht="15.75" hidden="false" customHeight="true" outlineLevel="0" collapsed="false">
      <c r="A1050" s="144" t="s">
        <v>1924</v>
      </c>
      <c r="B1050" s="144" t="s">
        <v>1925</v>
      </c>
      <c r="C1050" s="144"/>
      <c r="D1050" s="146" t="s">
        <v>1925</v>
      </c>
      <c r="E1050" s="145" t="n">
        <v>1134</v>
      </c>
      <c r="F1050" s="145" t="n">
        <v>1134</v>
      </c>
      <c r="G1050" s="146" t="s">
        <v>236</v>
      </c>
    </row>
    <row r="1051" customFormat="false" ht="15.75" hidden="false" customHeight="true" outlineLevel="0" collapsed="false">
      <c r="A1051" s="144" t="s">
        <v>1926</v>
      </c>
      <c r="B1051" s="144"/>
      <c r="C1051" s="144" t="s">
        <v>630</v>
      </c>
      <c r="D1051" s="146" t="s">
        <v>630</v>
      </c>
      <c r="E1051" s="145" t="n">
        <v>38</v>
      </c>
      <c r="F1051" s="145" t="n">
        <v>96</v>
      </c>
      <c r="G1051" s="146" t="s">
        <v>236</v>
      </c>
    </row>
    <row r="1052" customFormat="false" ht="15.75" hidden="false" customHeight="true" outlineLevel="0" collapsed="false">
      <c r="A1052" s="144" t="s">
        <v>1927</v>
      </c>
      <c r="B1052" s="144"/>
      <c r="C1052" s="144" t="s">
        <v>630</v>
      </c>
      <c r="D1052" s="146" t="s">
        <v>630</v>
      </c>
      <c r="E1052" s="145" t="n">
        <v>38</v>
      </c>
      <c r="F1052" s="145" t="n">
        <v>96</v>
      </c>
      <c r="G1052" s="146" t="s">
        <v>236</v>
      </c>
    </row>
    <row r="1053" customFormat="false" ht="15.75" hidden="false" customHeight="true" outlineLevel="0" collapsed="false">
      <c r="A1053" s="144" t="s">
        <v>1928</v>
      </c>
      <c r="B1053" s="144"/>
      <c r="C1053" s="144" t="s">
        <v>630</v>
      </c>
      <c r="D1053" s="146" t="s">
        <v>630</v>
      </c>
      <c r="E1053" s="145" t="n">
        <v>38</v>
      </c>
      <c r="F1053" s="145" t="n">
        <v>96</v>
      </c>
      <c r="G1053" s="146" t="s">
        <v>236</v>
      </c>
    </row>
    <row r="1054" customFormat="false" ht="15.75" hidden="false" customHeight="true" outlineLevel="0" collapsed="false">
      <c r="A1054" s="144" t="s">
        <v>1929</v>
      </c>
      <c r="B1054" s="144"/>
      <c r="C1054" s="144" t="s">
        <v>630</v>
      </c>
      <c r="D1054" s="146" t="s">
        <v>630</v>
      </c>
      <c r="E1054" s="145" t="n">
        <v>38</v>
      </c>
      <c r="F1054" s="145" t="n">
        <v>96</v>
      </c>
      <c r="G1054" s="146" t="s">
        <v>236</v>
      </c>
    </row>
    <row r="1055" customFormat="false" ht="15.75" hidden="false" customHeight="true" outlineLevel="0" collapsed="false">
      <c r="A1055" s="144" t="s">
        <v>1930</v>
      </c>
      <c r="B1055" s="144"/>
      <c r="C1055" s="144" t="s">
        <v>630</v>
      </c>
      <c r="D1055" s="146" t="s">
        <v>630</v>
      </c>
      <c r="E1055" s="145" t="n">
        <v>38</v>
      </c>
      <c r="F1055" s="145" t="n">
        <v>96</v>
      </c>
      <c r="G1055" s="146" t="s">
        <v>236</v>
      </c>
    </row>
    <row r="1056" customFormat="false" ht="15.75" hidden="false" customHeight="true" outlineLevel="0" collapsed="false">
      <c r="A1056" s="144" t="s">
        <v>1931</v>
      </c>
      <c r="B1056" s="144" t="s">
        <v>1932</v>
      </c>
      <c r="C1056" s="144"/>
      <c r="D1056" s="146" t="s">
        <v>1932</v>
      </c>
      <c r="E1056" s="145" t="n">
        <v>428</v>
      </c>
      <c r="F1056" s="145" t="n">
        <v>583</v>
      </c>
      <c r="G1056" s="146" t="s">
        <v>236</v>
      </c>
    </row>
    <row r="1057" customFormat="false" ht="15.75" hidden="false" customHeight="true" outlineLevel="0" collapsed="false">
      <c r="A1057" s="144" t="s">
        <v>1933</v>
      </c>
      <c r="B1057" s="144"/>
      <c r="C1057" s="144" t="s">
        <v>630</v>
      </c>
      <c r="D1057" s="146" t="s">
        <v>630</v>
      </c>
      <c r="E1057" s="145" t="n">
        <v>38</v>
      </c>
      <c r="F1057" s="145" t="n">
        <v>96</v>
      </c>
      <c r="G1057" s="146" t="s">
        <v>236</v>
      </c>
    </row>
    <row r="1058" customFormat="false" ht="15.75" hidden="false" customHeight="true" outlineLevel="0" collapsed="false">
      <c r="A1058" s="144" t="s">
        <v>1934</v>
      </c>
      <c r="B1058" s="144"/>
      <c r="C1058" s="144" t="s">
        <v>630</v>
      </c>
      <c r="D1058" s="146" t="s">
        <v>630</v>
      </c>
      <c r="E1058" s="145" t="n">
        <v>38</v>
      </c>
      <c r="F1058" s="145" t="n">
        <v>96</v>
      </c>
      <c r="G1058" s="146" t="s">
        <v>236</v>
      </c>
    </row>
    <row r="1059" customFormat="false" ht="15.75" hidden="false" customHeight="true" outlineLevel="0" collapsed="false">
      <c r="A1059" s="144" t="s">
        <v>1935</v>
      </c>
      <c r="B1059" s="144"/>
      <c r="C1059" s="144" t="s">
        <v>630</v>
      </c>
      <c r="D1059" s="146" t="s">
        <v>630</v>
      </c>
      <c r="E1059" s="145" t="n">
        <v>38</v>
      </c>
      <c r="F1059" s="145" t="n">
        <v>96</v>
      </c>
      <c r="G1059" s="146" t="s">
        <v>236</v>
      </c>
    </row>
    <row r="1060" customFormat="false" ht="15.75" hidden="false" customHeight="true" outlineLevel="0" collapsed="false">
      <c r="A1060" s="144" t="s">
        <v>1936</v>
      </c>
      <c r="B1060" s="144"/>
      <c r="C1060" s="144" t="s">
        <v>630</v>
      </c>
      <c r="D1060" s="146" t="s">
        <v>630</v>
      </c>
      <c r="E1060" s="145" t="n">
        <v>38</v>
      </c>
      <c r="F1060" s="145" t="n">
        <v>96</v>
      </c>
      <c r="G1060" s="146" t="s">
        <v>236</v>
      </c>
    </row>
    <row r="1061" customFormat="false" ht="15.75" hidden="false" customHeight="true" outlineLevel="0" collapsed="false">
      <c r="A1061" s="144" t="s">
        <v>1937</v>
      </c>
      <c r="B1061" s="144"/>
      <c r="C1061" s="144" t="s">
        <v>714</v>
      </c>
      <c r="D1061" s="146" t="s">
        <v>714</v>
      </c>
      <c r="E1061" s="145" t="n">
        <v>5950</v>
      </c>
      <c r="F1061" s="145" t="n">
        <v>10539</v>
      </c>
      <c r="G1061" s="146" t="s">
        <v>236</v>
      </c>
    </row>
    <row r="1062" customFormat="false" ht="15.75" hidden="false" customHeight="true" outlineLevel="0" collapsed="false">
      <c r="A1062" s="144" t="s">
        <v>1938</v>
      </c>
      <c r="B1062" s="144" t="s">
        <v>1939</v>
      </c>
      <c r="C1062" s="144"/>
      <c r="D1062" s="146" t="s">
        <v>1939</v>
      </c>
      <c r="E1062" s="145" t="n">
        <v>16</v>
      </c>
      <c r="F1062" s="145" t="n">
        <v>25</v>
      </c>
      <c r="G1062" s="146" t="s">
        <v>236</v>
      </c>
    </row>
    <row r="1063" customFormat="false" ht="15.75" hidden="false" customHeight="true" outlineLevel="0" collapsed="false">
      <c r="A1063" s="144" t="s">
        <v>1940</v>
      </c>
      <c r="B1063" s="144" t="s">
        <v>1941</v>
      </c>
      <c r="C1063" s="144"/>
      <c r="D1063" s="146" t="s">
        <v>1941</v>
      </c>
      <c r="E1063" s="145" t="n">
        <v>454</v>
      </c>
      <c r="F1063" s="145" t="n">
        <v>4545</v>
      </c>
      <c r="G1063" s="146" t="s">
        <v>236</v>
      </c>
    </row>
    <row r="1064" customFormat="false" ht="15.75" hidden="false" customHeight="true" outlineLevel="0" collapsed="false">
      <c r="A1064" s="144" t="s">
        <v>1942</v>
      </c>
      <c r="B1064" s="144"/>
      <c r="C1064" s="144" t="s">
        <v>630</v>
      </c>
      <c r="D1064" s="146" t="s">
        <v>630</v>
      </c>
      <c r="E1064" s="145" t="n">
        <v>38</v>
      </c>
      <c r="F1064" s="145" t="n">
        <v>96</v>
      </c>
      <c r="G1064" s="146" t="s">
        <v>236</v>
      </c>
    </row>
    <row r="1065" customFormat="false" ht="15.75" hidden="false" customHeight="true" outlineLevel="0" collapsed="false">
      <c r="A1065" s="144" t="s">
        <v>1943</v>
      </c>
      <c r="B1065" s="144"/>
      <c r="C1065" s="144" t="s">
        <v>1813</v>
      </c>
      <c r="D1065" s="146" t="s">
        <v>1813</v>
      </c>
      <c r="E1065" s="145" t="n">
        <v>48</v>
      </c>
      <c r="F1065" s="145" t="n">
        <v>81</v>
      </c>
      <c r="G1065" s="146" t="s">
        <v>236</v>
      </c>
    </row>
    <row r="1066" customFormat="false" ht="15.75" hidden="false" customHeight="true" outlineLevel="0" collapsed="false">
      <c r="A1066" s="144" t="s">
        <v>1944</v>
      </c>
      <c r="B1066" s="144"/>
      <c r="C1066" s="144" t="s">
        <v>630</v>
      </c>
      <c r="D1066" s="146" t="s">
        <v>630</v>
      </c>
      <c r="E1066" s="145" t="n">
        <v>38</v>
      </c>
      <c r="F1066" s="145" t="n">
        <v>96</v>
      </c>
      <c r="G1066" s="146" t="s">
        <v>236</v>
      </c>
    </row>
    <row r="1067" customFormat="false" ht="15.75" hidden="false" customHeight="true" outlineLevel="0" collapsed="false">
      <c r="A1067" s="144" t="s">
        <v>1945</v>
      </c>
      <c r="B1067" s="144" t="s">
        <v>1946</v>
      </c>
      <c r="C1067" s="144"/>
      <c r="D1067" s="146" t="s">
        <v>1946</v>
      </c>
      <c r="E1067" s="145" t="n">
        <v>1056</v>
      </c>
      <c r="F1067" s="145" t="n">
        <v>1440</v>
      </c>
      <c r="G1067" s="146" t="s">
        <v>236</v>
      </c>
    </row>
    <row r="1068" customFormat="false" ht="15.75" hidden="false" customHeight="true" outlineLevel="0" collapsed="false">
      <c r="A1068" s="144" t="s">
        <v>1947</v>
      </c>
      <c r="B1068" s="144"/>
      <c r="C1068" s="144" t="s">
        <v>630</v>
      </c>
      <c r="D1068" s="146" t="s">
        <v>630</v>
      </c>
      <c r="E1068" s="145" t="n">
        <v>38</v>
      </c>
      <c r="F1068" s="145" t="n">
        <v>96</v>
      </c>
      <c r="G1068" s="146" t="s">
        <v>236</v>
      </c>
    </row>
    <row r="1069" customFormat="false" ht="15.75" hidden="false" customHeight="true" outlineLevel="0" collapsed="false">
      <c r="A1069" s="144" t="s">
        <v>1948</v>
      </c>
      <c r="B1069" s="144"/>
      <c r="C1069" s="144" t="s">
        <v>630</v>
      </c>
      <c r="D1069" s="146" t="s">
        <v>630</v>
      </c>
      <c r="E1069" s="145" t="n">
        <v>38</v>
      </c>
      <c r="F1069" s="145" t="n">
        <v>96</v>
      </c>
      <c r="G1069" s="146" t="s">
        <v>236</v>
      </c>
    </row>
    <row r="1070" customFormat="false" ht="15.75" hidden="false" customHeight="true" outlineLevel="0" collapsed="false">
      <c r="A1070" s="144" t="s">
        <v>1949</v>
      </c>
      <c r="B1070" s="144"/>
      <c r="C1070" s="144" t="s">
        <v>630</v>
      </c>
      <c r="D1070" s="146" t="s">
        <v>630</v>
      </c>
      <c r="E1070" s="145" t="n">
        <v>38</v>
      </c>
      <c r="F1070" s="145" t="n">
        <v>96</v>
      </c>
      <c r="G1070" s="146" t="s">
        <v>236</v>
      </c>
    </row>
    <row r="1071" customFormat="false" ht="15.75" hidden="false" customHeight="true" outlineLevel="0" collapsed="false">
      <c r="A1071" s="144" t="s">
        <v>1950</v>
      </c>
      <c r="B1071" s="144"/>
      <c r="C1071" s="144" t="s">
        <v>630</v>
      </c>
      <c r="D1071" s="146" t="s">
        <v>630</v>
      </c>
      <c r="E1071" s="145" t="n">
        <v>38</v>
      </c>
      <c r="F1071" s="145" t="n">
        <v>96</v>
      </c>
      <c r="G1071" s="146" t="s">
        <v>236</v>
      </c>
    </row>
    <row r="1072" customFormat="false" ht="15.75" hidden="false" customHeight="true" outlineLevel="0" collapsed="false">
      <c r="A1072" s="144" t="s">
        <v>1951</v>
      </c>
      <c r="B1072" s="144"/>
      <c r="C1072" s="144" t="s">
        <v>630</v>
      </c>
      <c r="D1072" s="146" t="s">
        <v>630</v>
      </c>
      <c r="E1072" s="145" t="n">
        <v>38</v>
      </c>
      <c r="F1072" s="145" t="n">
        <v>96</v>
      </c>
      <c r="G1072" s="146" t="s">
        <v>236</v>
      </c>
    </row>
    <row r="1073" customFormat="false" ht="15.75" hidden="false" customHeight="true" outlineLevel="0" collapsed="false">
      <c r="A1073" s="144" t="s">
        <v>1952</v>
      </c>
      <c r="B1073" s="144"/>
      <c r="C1073" s="144" t="s">
        <v>630</v>
      </c>
      <c r="D1073" s="146" t="s">
        <v>630</v>
      </c>
      <c r="E1073" s="145" t="n">
        <v>38</v>
      </c>
      <c r="F1073" s="145" t="n">
        <v>96</v>
      </c>
      <c r="G1073" s="146" t="s">
        <v>236</v>
      </c>
    </row>
    <row r="1074" customFormat="false" ht="15.75" hidden="false" customHeight="true" outlineLevel="0" collapsed="false">
      <c r="A1074" s="144" t="s">
        <v>1953</v>
      </c>
      <c r="B1074" s="144"/>
      <c r="C1074" s="144" t="s">
        <v>630</v>
      </c>
      <c r="D1074" s="146" t="s">
        <v>630</v>
      </c>
      <c r="E1074" s="145" t="n">
        <v>38</v>
      </c>
      <c r="F1074" s="145" t="n">
        <v>96</v>
      </c>
      <c r="G1074" s="146" t="s">
        <v>236</v>
      </c>
    </row>
    <row r="1075" customFormat="false" ht="15.75" hidden="false" customHeight="true" outlineLevel="0" collapsed="false">
      <c r="A1075" s="144" t="s">
        <v>1954</v>
      </c>
      <c r="B1075" s="144"/>
      <c r="C1075" s="144" t="s">
        <v>714</v>
      </c>
      <c r="D1075" s="146" t="s">
        <v>714</v>
      </c>
      <c r="E1075" s="145" t="n">
        <v>5950</v>
      </c>
      <c r="F1075" s="145" t="n">
        <v>10539</v>
      </c>
      <c r="G1075" s="146" t="s">
        <v>236</v>
      </c>
    </row>
    <row r="1076" customFormat="false" ht="15.75" hidden="false" customHeight="true" outlineLevel="0" collapsed="false">
      <c r="A1076" s="144" t="s">
        <v>1955</v>
      </c>
      <c r="B1076" s="144"/>
      <c r="C1076" s="144" t="s">
        <v>630</v>
      </c>
      <c r="D1076" s="146" t="s">
        <v>630</v>
      </c>
      <c r="E1076" s="145" t="n">
        <v>38</v>
      </c>
      <c r="F1076" s="145" t="n">
        <v>96</v>
      </c>
      <c r="G1076" s="146" t="s">
        <v>236</v>
      </c>
    </row>
    <row r="1077" customFormat="false" ht="15.75" hidden="false" customHeight="true" outlineLevel="0" collapsed="false">
      <c r="A1077" s="144" t="s">
        <v>1956</v>
      </c>
      <c r="B1077" s="144"/>
      <c r="C1077" s="144" t="s">
        <v>630</v>
      </c>
      <c r="D1077" s="146" t="s">
        <v>630</v>
      </c>
      <c r="E1077" s="145" t="n">
        <v>38</v>
      </c>
      <c r="F1077" s="145" t="n">
        <v>96</v>
      </c>
      <c r="G1077" s="146" t="s">
        <v>236</v>
      </c>
    </row>
    <row r="1078" customFormat="false" ht="15.75" hidden="false" customHeight="true" outlineLevel="0" collapsed="false">
      <c r="A1078" s="144" t="s">
        <v>1957</v>
      </c>
      <c r="B1078" s="144"/>
      <c r="C1078" s="144" t="s">
        <v>630</v>
      </c>
      <c r="D1078" s="146" t="s">
        <v>630</v>
      </c>
      <c r="E1078" s="145" t="n">
        <v>38</v>
      </c>
      <c r="F1078" s="145" t="n">
        <v>96</v>
      </c>
      <c r="G1078" s="146" t="s">
        <v>236</v>
      </c>
    </row>
    <row r="1079" customFormat="false" ht="15.75" hidden="false" customHeight="true" outlineLevel="0" collapsed="false">
      <c r="A1079" s="144" t="s">
        <v>1958</v>
      </c>
      <c r="B1079" s="144"/>
      <c r="C1079" s="144" t="s">
        <v>630</v>
      </c>
      <c r="D1079" s="146" t="s">
        <v>630</v>
      </c>
      <c r="E1079" s="145" t="n">
        <v>38</v>
      </c>
      <c r="F1079" s="145" t="n">
        <v>96</v>
      </c>
      <c r="G1079" s="146" t="s">
        <v>236</v>
      </c>
    </row>
    <row r="1080" customFormat="false" ht="15.75" hidden="false" customHeight="true" outlineLevel="0" collapsed="false">
      <c r="A1080" s="144" t="s">
        <v>1959</v>
      </c>
      <c r="B1080" s="144"/>
      <c r="C1080" s="144" t="s">
        <v>630</v>
      </c>
      <c r="D1080" s="146" t="s">
        <v>630</v>
      </c>
      <c r="E1080" s="145" t="n">
        <v>38</v>
      </c>
      <c r="F1080" s="145" t="n">
        <v>96</v>
      </c>
      <c r="G1080" s="146" t="s">
        <v>236</v>
      </c>
    </row>
    <row r="1081" customFormat="false" ht="15.75" hidden="false" customHeight="true" outlineLevel="0" collapsed="false">
      <c r="A1081" s="144" t="s">
        <v>1960</v>
      </c>
      <c r="B1081" s="144"/>
      <c r="C1081" s="144" t="s">
        <v>714</v>
      </c>
      <c r="D1081" s="146" t="s">
        <v>714</v>
      </c>
      <c r="E1081" s="145" t="n">
        <v>5950</v>
      </c>
      <c r="F1081" s="145" t="n">
        <v>10539</v>
      </c>
      <c r="G1081" s="146" t="s">
        <v>236</v>
      </c>
    </row>
    <row r="1082" customFormat="false" ht="15.75" hidden="false" customHeight="true" outlineLevel="0" collapsed="false">
      <c r="A1082" s="144" t="s">
        <v>1961</v>
      </c>
      <c r="B1082" s="144"/>
      <c r="C1082" s="144" t="s">
        <v>630</v>
      </c>
      <c r="D1082" s="146" t="s">
        <v>630</v>
      </c>
      <c r="E1082" s="145" t="n">
        <v>38</v>
      </c>
      <c r="F1082" s="145" t="n">
        <v>96</v>
      </c>
      <c r="G1082" s="146" t="s">
        <v>236</v>
      </c>
    </row>
    <row r="1083" customFormat="false" ht="15.75" hidden="false" customHeight="true" outlineLevel="0" collapsed="false">
      <c r="A1083" s="144" t="s">
        <v>1962</v>
      </c>
      <c r="B1083" s="144"/>
      <c r="C1083" s="144" t="s">
        <v>630</v>
      </c>
      <c r="D1083" s="146" t="s">
        <v>630</v>
      </c>
      <c r="E1083" s="145" t="n">
        <v>38</v>
      </c>
      <c r="F1083" s="145" t="n">
        <v>96</v>
      </c>
      <c r="G1083" s="146" t="s">
        <v>236</v>
      </c>
    </row>
    <row r="1084" customFormat="false" ht="15.75" hidden="false" customHeight="true" outlineLevel="0" collapsed="false">
      <c r="A1084" s="144" t="s">
        <v>1963</v>
      </c>
      <c r="B1084" s="144"/>
      <c r="C1084" s="144" t="s">
        <v>714</v>
      </c>
      <c r="D1084" s="146" t="s">
        <v>714</v>
      </c>
      <c r="E1084" s="145" t="n">
        <v>5950</v>
      </c>
      <c r="F1084" s="145" t="n">
        <v>10539</v>
      </c>
      <c r="G1084" s="146" t="s">
        <v>236</v>
      </c>
    </row>
    <row r="1085" customFormat="false" ht="15.75" hidden="false" customHeight="true" outlineLevel="0" collapsed="false">
      <c r="A1085" s="144" t="s">
        <v>1964</v>
      </c>
      <c r="B1085" s="144"/>
      <c r="C1085" s="144" t="s">
        <v>630</v>
      </c>
      <c r="D1085" s="146" t="s">
        <v>630</v>
      </c>
      <c r="E1085" s="145" t="n">
        <v>38</v>
      </c>
      <c r="F1085" s="145" t="n">
        <v>96</v>
      </c>
      <c r="G1085" s="146" t="s">
        <v>236</v>
      </c>
    </row>
    <row r="1086" customFormat="false" ht="15.75" hidden="false" customHeight="true" outlineLevel="0" collapsed="false">
      <c r="A1086" s="144" t="s">
        <v>1965</v>
      </c>
      <c r="B1086" s="144"/>
      <c r="C1086" s="144" t="s">
        <v>1417</v>
      </c>
      <c r="D1086" s="146" t="s">
        <v>1417</v>
      </c>
      <c r="E1086" s="145" t="n">
        <v>1155</v>
      </c>
      <c r="F1086" s="145" t="n">
        <v>1575</v>
      </c>
      <c r="G1086" s="146" t="s">
        <v>236</v>
      </c>
    </row>
    <row r="1087" customFormat="false" ht="15.75" hidden="false" customHeight="true" outlineLevel="0" collapsed="false">
      <c r="A1087" s="144" t="s">
        <v>1966</v>
      </c>
      <c r="B1087" s="144"/>
      <c r="C1087" s="144" t="s">
        <v>630</v>
      </c>
      <c r="D1087" s="146" t="s">
        <v>630</v>
      </c>
      <c r="E1087" s="145" t="n">
        <v>38</v>
      </c>
      <c r="F1087" s="145" t="n">
        <v>96</v>
      </c>
      <c r="G1087" s="146" t="s">
        <v>236</v>
      </c>
    </row>
    <row r="1088" customFormat="false" ht="15.75" hidden="false" customHeight="true" outlineLevel="0" collapsed="false">
      <c r="A1088" s="144" t="s">
        <v>1967</v>
      </c>
      <c r="B1088" s="144"/>
      <c r="C1088" s="144" t="s">
        <v>630</v>
      </c>
      <c r="D1088" s="146" t="s">
        <v>630</v>
      </c>
      <c r="E1088" s="145" t="n">
        <v>38</v>
      </c>
      <c r="F1088" s="145" t="n">
        <v>96</v>
      </c>
      <c r="G1088" s="146" t="s">
        <v>236</v>
      </c>
    </row>
    <row r="1089" customFormat="false" ht="15.75" hidden="false" customHeight="true" outlineLevel="0" collapsed="false">
      <c r="A1089" s="144" t="s">
        <v>1968</v>
      </c>
      <c r="B1089" s="144" t="s">
        <v>1969</v>
      </c>
      <c r="C1089" s="144"/>
      <c r="D1089" s="146" t="s">
        <v>1969</v>
      </c>
      <c r="E1089" s="145" t="n">
        <v>1631</v>
      </c>
      <c r="F1089" s="145" t="n">
        <v>2120</v>
      </c>
      <c r="G1089" s="146" t="s">
        <v>236</v>
      </c>
    </row>
    <row r="1090" customFormat="false" ht="15.75" hidden="false" customHeight="true" outlineLevel="0" collapsed="false">
      <c r="A1090" s="144" t="s">
        <v>1970</v>
      </c>
      <c r="B1090" s="144"/>
      <c r="C1090" s="144" t="s">
        <v>630</v>
      </c>
      <c r="D1090" s="146" t="s">
        <v>630</v>
      </c>
      <c r="E1090" s="145" t="n">
        <v>38</v>
      </c>
      <c r="F1090" s="145" t="n">
        <v>96</v>
      </c>
      <c r="G1090" s="146" t="s">
        <v>236</v>
      </c>
    </row>
    <row r="1091" customFormat="false" ht="15.75" hidden="false" customHeight="true" outlineLevel="0" collapsed="false">
      <c r="A1091" s="144" t="s">
        <v>1971</v>
      </c>
      <c r="B1091" s="144"/>
      <c r="C1091" s="144" t="s">
        <v>630</v>
      </c>
      <c r="D1091" s="146" t="s">
        <v>630</v>
      </c>
      <c r="E1091" s="145" t="n">
        <v>38</v>
      </c>
      <c r="F1091" s="145" t="n">
        <v>96</v>
      </c>
      <c r="G1091" s="146" t="s">
        <v>236</v>
      </c>
    </row>
    <row r="1092" customFormat="false" ht="15.75" hidden="false" customHeight="true" outlineLevel="0" collapsed="false">
      <c r="A1092" s="144" t="s">
        <v>1972</v>
      </c>
      <c r="B1092" s="144" t="s">
        <v>1973</v>
      </c>
      <c r="C1092" s="144"/>
      <c r="D1092" s="146" t="s">
        <v>1973</v>
      </c>
      <c r="E1092" s="145" t="n">
        <v>93</v>
      </c>
      <c r="F1092" s="145" t="n">
        <v>637</v>
      </c>
      <c r="G1092" s="146" t="s">
        <v>236</v>
      </c>
    </row>
    <row r="1093" customFormat="false" ht="15.75" hidden="false" customHeight="true" outlineLevel="0" collapsed="false">
      <c r="A1093" s="144" t="s">
        <v>1974</v>
      </c>
      <c r="B1093" s="144"/>
      <c r="C1093" s="144" t="s">
        <v>630</v>
      </c>
      <c r="D1093" s="146" t="s">
        <v>630</v>
      </c>
      <c r="E1093" s="145" t="n">
        <v>38</v>
      </c>
      <c r="F1093" s="145" t="n">
        <v>96</v>
      </c>
      <c r="G1093" s="146" t="s">
        <v>236</v>
      </c>
    </row>
    <row r="1094" customFormat="false" ht="15.75" hidden="false" customHeight="true" outlineLevel="0" collapsed="false">
      <c r="A1094" s="144" t="s">
        <v>1975</v>
      </c>
      <c r="B1094" s="144"/>
      <c r="C1094" s="144" t="s">
        <v>630</v>
      </c>
      <c r="D1094" s="146" t="s">
        <v>630</v>
      </c>
      <c r="E1094" s="145" t="n">
        <v>38</v>
      </c>
      <c r="F1094" s="145" t="n">
        <v>96</v>
      </c>
      <c r="G1094" s="146" t="s">
        <v>236</v>
      </c>
    </row>
    <row r="1095" customFormat="false" ht="15.75" hidden="false" customHeight="true" outlineLevel="0" collapsed="false">
      <c r="A1095" s="144" t="s">
        <v>1976</v>
      </c>
      <c r="B1095" s="144"/>
      <c r="C1095" s="144" t="s">
        <v>714</v>
      </c>
      <c r="D1095" s="146" t="s">
        <v>714</v>
      </c>
      <c r="E1095" s="145" t="n">
        <v>5950</v>
      </c>
      <c r="F1095" s="145" t="n">
        <v>10539</v>
      </c>
      <c r="G1095" s="146" t="s">
        <v>236</v>
      </c>
    </row>
    <row r="1096" customFormat="false" ht="15.75" hidden="false" customHeight="true" outlineLevel="0" collapsed="false">
      <c r="A1096" s="144" t="s">
        <v>1977</v>
      </c>
      <c r="B1096" s="144"/>
      <c r="C1096" s="144" t="s">
        <v>714</v>
      </c>
      <c r="D1096" s="146" t="s">
        <v>714</v>
      </c>
      <c r="E1096" s="145" t="n">
        <v>5950</v>
      </c>
      <c r="F1096" s="145" t="n">
        <v>10539</v>
      </c>
      <c r="G1096" s="146" t="s">
        <v>236</v>
      </c>
    </row>
    <row r="1097" customFormat="false" ht="15.75" hidden="false" customHeight="true" outlineLevel="0" collapsed="false">
      <c r="A1097" s="144" t="s">
        <v>1978</v>
      </c>
      <c r="B1097" s="144"/>
      <c r="C1097" s="144" t="s">
        <v>714</v>
      </c>
      <c r="D1097" s="146" t="s">
        <v>714</v>
      </c>
      <c r="E1097" s="145" t="n">
        <v>5950</v>
      </c>
      <c r="F1097" s="145" t="n">
        <v>10539</v>
      </c>
      <c r="G1097" s="146" t="s">
        <v>236</v>
      </c>
    </row>
    <row r="1098" customFormat="false" ht="15.75" hidden="false" customHeight="true" outlineLevel="0" collapsed="false">
      <c r="A1098" s="144" t="s">
        <v>1979</v>
      </c>
      <c r="B1098" s="144"/>
      <c r="C1098" s="144" t="s">
        <v>630</v>
      </c>
      <c r="D1098" s="146" t="s">
        <v>630</v>
      </c>
      <c r="E1098" s="145" t="n">
        <v>38</v>
      </c>
      <c r="F1098" s="145" t="n">
        <v>96</v>
      </c>
      <c r="G1098" s="146" t="s">
        <v>236</v>
      </c>
    </row>
    <row r="1099" customFormat="false" ht="15.75" hidden="false" customHeight="true" outlineLevel="0" collapsed="false">
      <c r="A1099" s="144" t="s">
        <v>1980</v>
      </c>
      <c r="B1099" s="144"/>
      <c r="C1099" s="144" t="s">
        <v>630</v>
      </c>
      <c r="D1099" s="146" t="s">
        <v>630</v>
      </c>
      <c r="E1099" s="145" t="n">
        <v>38</v>
      </c>
      <c r="F1099" s="145" t="n">
        <v>96</v>
      </c>
      <c r="G1099" s="146" t="s">
        <v>236</v>
      </c>
    </row>
    <row r="1100" customFormat="false" ht="15.75" hidden="false" customHeight="true" outlineLevel="0" collapsed="false">
      <c r="A1100" s="144" t="s">
        <v>1981</v>
      </c>
      <c r="B1100" s="144"/>
      <c r="C1100" s="144" t="s">
        <v>630</v>
      </c>
      <c r="D1100" s="146" t="s">
        <v>630</v>
      </c>
      <c r="E1100" s="145" t="n">
        <v>38</v>
      </c>
      <c r="F1100" s="145" t="n">
        <v>96</v>
      </c>
      <c r="G1100" s="146" t="s">
        <v>236</v>
      </c>
    </row>
    <row r="1101" customFormat="false" ht="15.75" hidden="false" customHeight="true" outlineLevel="0" collapsed="false">
      <c r="A1101" s="144" t="s">
        <v>1982</v>
      </c>
      <c r="B1101" s="144"/>
      <c r="C1101" s="144" t="s">
        <v>630</v>
      </c>
      <c r="D1101" s="146" t="s">
        <v>630</v>
      </c>
      <c r="E1101" s="145" t="n">
        <v>38</v>
      </c>
      <c r="F1101" s="145" t="n">
        <v>96</v>
      </c>
      <c r="G1101" s="146" t="s">
        <v>236</v>
      </c>
    </row>
    <row r="1102" customFormat="false" ht="15.75" hidden="false" customHeight="true" outlineLevel="0" collapsed="false">
      <c r="A1102" s="144" t="s">
        <v>1983</v>
      </c>
      <c r="B1102" s="144"/>
      <c r="C1102" s="144" t="s">
        <v>630</v>
      </c>
      <c r="D1102" s="146" t="s">
        <v>630</v>
      </c>
      <c r="E1102" s="145" t="n">
        <v>38</v>
      </c>
      <c r="F1102" s="145" t="n">
        <v>96</v>
      </c>
      <c r="G1102" s="146" t="s">
        <v>236</v>
      </c>
    </row>
    <row r="1103" customFormat="false" ht="15.75" hidden="false" customHeight="true" outlineLevel="0" collapsed="false">
      <c r="A1103" s="144" t="s">
        <v>1984</v>
      </c>
      <c r="B1103" s="144"/>
      <c r="C1103" s="144" t="s">
        <v>714</v>
      </c>
      <c r="D1103" s="146" t="s">
        <v>714</v>
      </c>
      <c r="E1103" s="145" t="n">
        <v>5950</v>
      </c>
      <c r="F1103" s="145" t="n">
        <v>10539</v>
      </c>
      <c r="G1103" s="146" t="s">
        <v>236</v>
      </c>
    </row>
    <row r="1104" customFormat="false" ht="15.75" hidden="false" customHeight="true" outlineLevel="0" collapsed="false">
      <c r="A1104" s="144" t="s">
        <v>1985</v>
      </c>
      <c r="B1104" s="144" t="s">
        <v>1986</v>
      </c>
      <c r="C1104" s="144"/>
      <c r="D1104" s="146" t="s">
        <v>1986</v>
      </c>
      <c r="E1104" s="145" t="n">
        <v>35</v>
      </c>
      <c r="F1104" s="145" t="n">
        <v>116</v>
      </c>
      <c r="G1104" s="146" t="s">
        <v>236</v>
      </c>
    </row>
    <row r="1105" customFormat="false" ht="15.75" hidden="false" customHeight="true" outlineLevel="0" collapsed="false">
      <c r="A1105" s="144" t="s">
        <v>1987</v>
      </c>
      <c r="B1105" s="144"/>
      <c r="C1105" s="144" t="s">
        <v>630</v>
      </c>
      <c r="D1105" s="146" t="s">
        <v>630</v>
      </c>
      <c r="E1105" s="145" t="n">
        <v>38</v>
      </c>
      <c r="F1105" s="145" t="n">
        <v>96</v>
      </c>
      <c r="G1105" s="146" t="s">
        <v>236</v>
      </c>
    </row>
    <row r="1106" customFormat="false" ht="15.75" hidden="false" customHeight="true" outlineLevel="0" collapsed="false">
      <c r="A1106" s="144" t="s">
        <v>1988</v>
      </c>
      <c r="B1106" s="144"/>
      <c r="C1106" s="144" t="s">
        <v>630</v>
      </c>
      <c r="D1106" s="146" t="s">
        <v>630</v>
      </c>
      <c r="E1106" s="145" t="n">
        <v>38</v>
      </c>
      <c r="F1106" s="145" t="n">
        <v>96</v>
      </c>
      <c r="G1106" s="146" t="s">
        <v>236</v>
      </c>
    </row>
    <row r="1107" customFormat="false" ht="15.75" hidden="false" customHeight="true" outlineLevel="0" collapsed="false">
      <c r="A1107" s="144" t="s">
        <v>1989</v>
      </c>
      <c r="B1107" s="144"/>
      <c r="C1107" s="144" t="s">
        <v>630</v>
      </c>
      <c r="D1107" s="146" t="s">
        <v>630</v>
      </c>
      <c r="E1107" s="145" t="n">
        <v>38</v>
      </c>
      <c r="F1107" s="145" t="n">
        <v>96</v>
      </c>
      <c r="G1107" s="146" t="s">
        <v>236</v>
      </c>
    </row>
    <row r="1108" customFormat="false" ht="15.75" hidden="false" customHeight="true" outlineLevel="0" collapsed="false">
      <c r="A1108" s="144" t="s">
        <v>1990</v>
      </c>
      <c r="B1108" s="144" t="s">
        <v>1991</v>
      </c>
      <c r="C1108" s="144"/>
      <c r="D1108" s="146" t="s">
        <v>1991</v>
      </c>
      <c r="E1108" s="145" t="n">
        <v>14000</v>
      </c>
      <c r="F1108" s="145" t="n">
        <v>18000</v>
      </c>
      <c r="G1108" s="146" t="s">
        <v>236</v>
      </c>
    </row>
    <row r="1109" customFormat="false" ht="15.75" hidden="false" customHeight="true" outlineLevel="0" collapsed="false">
      <c r="A1109" s="144" t="s">
        <v>1992</v>
      </c>
      <c r="B1109" s="144" t="s">
        <v>683</v>
      </c>
      <c r="C1109" s="144"/>
      <c r="D1109" s="146" t="s">
        <v>683</v>
      </c>
      <c r="E1109" s="145" t="n">
        <v>5000</v>
      </c>
      <c r="F1109" s="145" t="n">
        <v>5000</v>
      </c>
      <c r="G1109" s="146" t="s">
        <v>236</v>
      </c>
    </row>
    <row r="1110" customFormat="false" ht="15.75" hidden="false" customHeight="true" outlineLevel="0" collapsed="false">
      <c r="A1110" s="144" t="s">
        <v>1993</v>
      </c>
      <c r="B1110" s="144"/>
      <c r="C1110" s="144" t="s">
        <v>630</v>
      </c>
      <c r="D1110" s="146" t="s">
        <v>630</v>
      </c>
      <c r="E1110" s="145" t="n">
        <v>38</v>
      </c>
      <c r="F1110" s="145" t="n">
        <v>96</v>
      </c>
      <c r="G1110" s="146" t="s">
        <v>236</v>
      </c>
    </row>
    <row r="1111" customFormat="false" ht="15.75" hidden="false" customHeight="true" outlineLevel="0" collapsed="false">
      <c r="A1111" s="144" t="s">
        <v>1994</v>
      </c>
      <c r="B1111" s="144" t="s">
        <v>1995</v>
      </c>
      <c r="C1111" s="144"/>
      <c r="D1111" s="146" t="s">
        <v>1995</v>
      </c>
      <c r="E1111" s="145" t="n">
        <v>9072</v>
      </c>
      <c r="F1111" s="145" t="n">
        <v>18144</v>
      </c>
      <c r="G1111" s="146" t="s">
        <v>236</v>
      </c>
    </row>
    <row r="1112" customFormat="false" ht="15.75" hidden="false" customHeight="true" outlineLevel="0" collapsed="false">
      <c r="A1112" s="144" t="s">
        <v>1996</v>
      </c>
      <c r="B1112" s="144"/>
      <c r="C1112" s="144" t="s">
        <v>714</v>
      </c>
      <c r="D1112" s="146" t="s">
        <v>714</v>
      </c>
      <c r="E1112" s="145" t="n">
        <v>5950</v>
      </c>
      <c r="F1112" s="145" t="n">
        <v>10539</v>
      </c>
      <c r="G1112" s="146" t="s">
        <v>236</v>
      </c>
    </row>
    <row r="1113" customFormat="false" ht="15.75" hidden="false" customHeight="true" outlineLevel="0" collapsed="false">
      <c r="A1113" s="144" t="s">
        <v>1997</v>
      </c>
      <c r="B1113" s="144"/>
      <c r="C1113" s="144" t="s">
        <v>630</v>
      </c>
      <c r="D1113" s="146" t="s">
        <v>630</v>
      </c>
      <c r="E1113" s="145" t="n">
        <v>38</v>
      </c>
      <c r="F1113" s="145" t="n">
        <v>96</v>
      </c>
      <c r="G1113" s="146" t="s">
        <v>236</v>
      </c>
    </row>
    <row r="1114" customFormat="false" ht="15.75" hidden="false" customHeight="true" outlineLevel="0" collapsed="false">
      <c r="A1114" s="144" t="s">
        <v>1998</v>
      </c>
      <c r="B1114" s="144"/>
      <c r="C1114" s="144" t="s">
        <v>630</v>
      </c>
      <c r="D1114" s="146" t="s">
        <v>630</v>
      </c>
      <c r="E1114" s="145" t="n">
        <v>38</v>
      </c>
      <c r="F1114" s="145" t="n">
        <v>96</v>
      </c>
      <c r="G1114" s="146" t="s">
        <v>236</v>
      </c>
    </row>
    <row r="1115" customFormat="false" ht="15.75" hidden="false" customHeight="true" outlineLevel="0" collapsed="false">
      <c r="A1115" s="144" t="s">
        <v>1999</v>
      </c>
      <c r="B1115" s="144"/>
      <c r="C1115" s="144" t="s">
        <v>630</v>
      </c>
      <c r="D1115" s="146" t="s">
        <v>630</v>
      </c>
      <c r="E1115" s="145" t="n">
        <v>38</v>
      </c>
      <c r="F1115" s="145" t="n">
        <v>96</v>
      </c>
      <c r="G1115" s="146" t="s">
        <v>236</v>
      </c>
    </row>
    <row r="1116" customFormat="false" ht="15.75" hidden="false" customHeight="true" outlineLevel="0" collapsed="false">
      <c r="A1116" s="144" t="s">
        <v>2000</v>
      </c>
      <c r="B1116" s="144"/>
      <c r="C1116" s="144" t="s">
        <v>1813</v>
      </c>
      <c r="D1116" s="146" t="s">
        <v>1813</v>
      </c>
      <c r="E1116" s="145" t="n">
        <v>48</v>
      </c>
      <c r="F1116" s="145" t="n">
        <v>81</v>
      </c>
      <c r="G1116" s="146" t="s">
        <v>236</v>
      </c>
    </row>
    <row r="1117" customFormat="false" ht="15.75" hidden="false" customHeight="true" outlineLevel="0" collapsed="false">
      <c r="A1117" s="144" t="s">
        <v>2001</v>
      </c>
      <c r="B1117" s="144"/>
      <c r="C1117" s="144" t="s">
        <v>714</v>
      </c>
      <c r="D1117" s="146" t="s">
        <v>714</v>
      </c>
      <c r="E1117" s="145" t="n">
        <v>5950</v>
      </c>
      <c r="F1117" s="145" t="n">
        <v>10539</v>
      </c>
      <c r="G1117" s="146" t="s">
        <v>236</v>
      </c>
    </row>
    <row r="1118" customFormat="false" ht="15.75" hidden="false" customHeight="true" outlineLevel="0" collapsed="false">
      <c r="A1118" s="144" t="s">
        <v>2002</v>
      </c>
      <c r="B1118" s="144"/>
      <c r="C1118" s="144" t="s">
        <v>630</v>
      </c>
      <c r="D1118" s="146" t="s">
        <v>630</v>
      </c>
      <c r="E1118" s="145" t="n">
        <v>38</v>
      </c>
      <c r="F1118" s="145" t="n">
        <v>96</v>
      </c>
      <c r="G1118" s="146" t="s">
        <v>236</v>
      </c>
    </row>
    <row r="1119" customFormat="false" ht="15.75" hidden="false" customHeight="true" outlineLevel="0" collapsed="false">
      <c r="A1119" s="144" t="s">
        <v>2003</v>
      </c>
      <c r="B1119" s="144"/>
      <c r="C1119" s="144" t="s">
        <v>630</v>
      </c>
      <c r="D1119" s="146" t="s">
        <v>630</v>
      </c>
      <c r="E1119" s="145" t="n">
        <v>38</v>
      </c>
      <c r="F1119" s="145" t="n">
        <v>96</v>
      </c>
      <c r="G1119" s="146" t="s">
        <v>236</v>
      </c>
    </row>
    <row r="1120" customFormat="false" ht="15.75" hidden="false" customHeight="true" outlineLevel="0" collapsed="false">
      <c r="A1120" s="144" t="s">
        <v>2004</v>
      </c>
      <c r="B1120" s="144"/>
      <c r="C1120" s="144" t="s">
        <v>630</v>
      </c>
      <c r="D1120" s="146" t="s">
        <v>630</v>
      </c>
      <c r="E1120" s="145" t="n">
        <v>38</v>
      </c>
      <c r="F1120" s="145" t="n">
        <v>96</v>
      </c>
      <c r="G1120" s="146" t="s">
        <v>236</v>
      </c>
    </row>
    <row r="1121" customFormat="false" ht="15.75" hidden="false" customHeight="true" outlineLevel="0" collapsed="false">
      <c r="A1121" s="144" t="s">
        <v>2005</v>
      </c>
      <c r="B1121" s="144"/>
      <c r="C1121" s="144" t="s">
        <v>630</v>
      </c>
      <c r="D1121" s="146" t="s">
        <v>630</v>
      </c>
      <c r="E1121" s="145" t="n">
        <v>38</v>
      </c>
      <c r="F1121" s="145" t="n">
        <v>96</v>
      </c>
      <c r="G1121" s="146" t="s">
        <v>236</v>
      </c>
    </row>
    <row r="1122" customFormat="false" ht="15.75" hidden="false" customHeight="true" outlineLevel="0" collapsed="false">
      <c r="A1122" s="144" t="s">
        <v>2006</v>
      </c>
      <c r="B1122" s="144" t="s">
        <v>2007</v>
      </c>
      <c r="C1122" s="144"/>
      <c r="D1122" s="146" t="s">
        <v>2007</v>
      </c>
      <c r="E1122" s="145" t="n">
        <v>2036</v>
      </c>
      <c r="F1122" s="145" t="n">
        <v>2900</v>
      </c>
      <c r="G1122" s="146" t="s">
        <v>236</v>
      </c>
    </row>
    <row r="1123" customFormat="false" ht="15.75" hidden="false" customHeight="true" outlineLevel="0" collapsed="false">
      <c r="A1123" s="144" t="s">
        <v>2008</v>
      </c>
      <c r="B1123" s="144"/>
      <c r="C1123" s="144" t="s">
        <v>630</v>
      </c>
      <c r="D1123" s="146" t="s">
        <v>630</v>
      </c>
      <c r="E1123" s="145" t="n">
        <v>38</v>
      </c>
      <c r="F1123" s="145" t="n">
        <v>96</v>
      </c>
      <c r="G1123" s="146" t="s">
        <v>236</v>
      </c>
    </row>
    <row r="1124" customFormat="false" ht="15.75" hidden="false" customHeight="true" outlineLevel="0" collapsed="false">
      <c r="A1124" s="144" t="s">
        <v>2009</v>
      </c>
      <c r="B1124" s="144"/>
      <c r="C1124" s="144" t="s">
        <v>630</v>
      </c>
      <c r="D1124" s="146" t="s">
        <v>630</v>
      </c>
      <c r="E1124" s="145" t="n">
        <v>38</v>
      </c>
      <c r="F1124" s="145" t="n">
        <v>96</v>
      </c>
      <c r="G1124" s="146" t="s">
        <v>236</v>
      </c>
    </row>
    <row r="1125" customFormat="false" ht="15.75" hidden="false" customHeight="true" outlineLevel="0" collapsed="false">
      <c r="A1125" s="144" t="s">
        <v>2010</v>
      </c>
      <c r="B1125" s="144"/>
      <c r="C1125" s="144" t="s">
        <v>714</v>
      </c>
      <c r="D1125" s="146" t="s">
        <v>714</v>
      </c>
      <c r="E1125" s="145" t="n">
        <v>5950</v>
      </c>
      <c r="F1125" s="145" t="n">
        <v>10539</v>
      </c>
      <c r="G1125" s="146" t="s">
        <v>236</v>
      </c>
    </row>
    <row r="1126" customFormat="false" ht="15.75" hidden="false" customHeight="true" outlineLevel="0" collapsed="false">
      <c r="A1126" s="144" t="s">
        <v>2011</v>
      </c>
      <c r="B1126" s="144"/>
      <c r="C1126" s="144" t="s">
        <v>630</v>
      </c>
      <c r="D1126" s="146" t="s">
        <v>630</v>
      </c>
      <c r="E1126" s="145" t="n">
        <v>38</v>
      </c>
      <c r="F1126" s="145" t="n">
        <v>96</v>
      </c>
      <c r="G1126" s="146" t="s">
        <v>236</v>
      </c>
    </row>
    <row r="1127" customFormat="false" ht="15.75" hidden="false" customHeight="true" outlineLevel="0" collapsed="false">
      <c r="A1127" s="144" t="s">
        <v>2012</v>
      </c>
      <c r="B1127" s="144"/>
      <c r="C1127" s="144" t="s">
        <v>630</v>
      </c>
      <c r="D1127" s="146" t="s">
        <v>630</v>
      </c>
      <c r="E1127" s="145" t="n">
        <v>38</v>
      </c>
      <c r="F1127" s="145" t="n">
        <v>96</v>
      </c>
      <c r="G1127" s="146" t="s">
        <v>236</v>
      </c>
    </row>
    <row r="1128" customFormat="false" ht="15.75" hidden="false" customHeight="true" outlineLevel="0" collapsed="false">
      <c r="A1128" s="144" t="s">
        <v>2013</v>
      </c>
      <c r="B1128" s="144"/>
      <c r="C1128" s="144" t="s">
        <v>630</v>
      </c>
      <c r="D1128" s="146" t="s">
        <v>630</v>
      </c>
      <c r="E1128" s="145" t="n">
        <v>38</v>
      </c>
      <c r="F1128" s="145" t="n">
        <v>96</v>
      </c>
      <c r="G1128" s="146" t="s">
        <v>236</v>
      </c>
    </row>
    <row r="1129" customFormat="false" ht="15.75" hidden="false" customHeight="true" outlineLevel="0" collapsed="false">
      <c r="A1129" s="144" t="s">
        <v>2014</v>
      </c>
      <c r="B1129" s="144"/>
      <c r="C1129" s="144" t="s">
        <v>630</v>
      </c>
      <c r="D1129" s="146" t="s">
        <v>630</v>
      </c>
      <c r="E1129" s="145" t="n">
        <v>38</v>
      </c>
      <c r="F1129" s="145" t="n">
        <v>96</v>
      </c>
      <c r="G1129" s="146" t="s">
        <v>236</v>
      </c>
    </row>
    <row r="1130" customFormat="false" ht="15.75" hidden="false" customHeight="true" outlineLevel="0" collapsed="false">
      <c r="A1130" s="144" t="s">
        <v>2015</v>
      </c>
      <c r="B1130" s="144"/>
      <c r="C1130" s="144" t="s">
        <v>630</v>
      </c>
      <c r="D1130" s="146" t="s">
        <v>630</v>
      </c>
      <c r="E1130" s="145" t="n">
        <v>38</v>
      </c>
      <c r="F1130" s="145" t="n">
        <v>96</v>
      </c>
      <c r="G1130" s="146" t="s">
        <v>236</v>
      </c>
    </row>
    <row r="1131" customFormat="false" ht="15.75" hidden="false" customHeight="true" outlineLevel="0" collapsed="false">
      <c r="A1131" s="144" t="s">
        <v>2016</v>
      </c>
      <c r="B1131" s="144"/>
      <c r="C1131" s="144" t="s">
        <v>630</v>
      </c>
      <c r="D1131" s="146" t="s">
        <v>630</v>
      </c>
      <c r="E1131" s="145" t="n">
        <v>38</v>
      </c>
      <c r="F1131" s="145" t="n">
        <v>96</v>
      </c>
      <c r="G1131" s="146" t="s">
        <v>236</v>
      </c>
    </row>
    <row r="1132" customFormat="false" ht="15.75" hidden="false" customHeight="true" outlineLevel="0" collapsed="false">
      <c r="A1132" s="144" t="s">
        <v>2017</v>
      </c>
      <c r="B1132" s="144" t="s">
        <v>2018</v>
      </c>
      <c r="C1132" s="144"/>
      <c r="D1132" s="146" t="s">
        <v>2018</v>
      </c>
      <c r="E1132" s="145" t="n">
        <v>3636</v>
      </c>
      <c r="F1132" s="145" t="n">
        <v>4545</v>
      </c>
      <c r="G1132" s="146" t="s">
        <v>236</v>
      </c>
    </row>
    <row r="1133" customFormat="false" ht="15.75" hidden="false" customHeight="true" outlineLevel="0" collapsed="false">
      <c r="A1133" s="144" t="s">
        <v>2019</v>
      </c>
      <c r="B1133" s="144"/>
      <c r="C1133" s="144" t="s">
        <v>630</v>
      </c>
      <c r="D1133" s="146" t="s">
        <v>630</v>
      </c>
      <c r="E1133" s="145" t="n">
        <v>38</v>
      </c>
      <c r="F1133" s="145" t="n">
        <v>96</v>
      </c>
      <c r="G1133" s="146" t="s">
        <v>236</v>
      </c>
    </row>
    <row r="1134" customFormat="false" ht="15.75" hidden="false" customHeight="true" outlineLevel="0" collapsed="false">
      <c r="A1134" s="144" t="s">
        <v>2020</v>
      </c>
      <c r="B1134" s="144"/>
      <c r="C1134" s="144" t="s">
        <v>714</v>
      </c>
      <c r="D1134" s="146" t="s">
        <v>714</v>
      </c>
      <c r="E1134" s="145" t="n">
        <v>5950</v>
      </c>
      <c r="F1134" s="145" t="n">
        <v>10539</v>
      </c>
      <c r="G1134" s="146" t="s">
        <v>236</v>
      </c>
    </row>
    <row r="1135" customFormat="false" ht="15.75" hidden="false" customHeight="true" outlineLevel="0" collapsed="false">
      <c r="A1135" s="144" t="s">
        <v>2021</v>
      </c>
      <c r="B1135" s="144"/>
      <c r="C1135" s="144" t="s">
        <v>630</v>
      </c>
      <c r="D1135" s="146" t="s">
        <v>630</v>
      </c>
      <c r="E1135" s="145" t="n">
        <v>38</v>
      </c>
      <c r="F1135" s="145" t="n">
        <v>96</v>
      </c>
      <c r="G1135" s="146" t="s">
        <v>236</v>
      </c>
    </row>
    <row r="1136" customFormat="false" ht="15.75" hidden="false" customHeight="true" outlineLevel="0" collapsed="false">
      <c r="A1136" s="144" t="s">
        <v>2022</v>
      </c>
      <c r="B1136" s="144"/>
      <c r="C1136" s="144" t="s">
        <v>630</v>
      </c>
      <c r="D1136" s="146" t="s">
        <v>630</v>
      </c>
      <c r="E1136" s="145" t="n">
        <v>38</v>
      </c>
      <c r="F1136" s="145" t="n">
        <v>96</v>
      </c>
      <c r="G1136" s="146" t="s">
        <v>236</v>
      </c>
    </row>
    <row r="1137" customFormat="false" ht="15.75" hidden="false" customHeight="true" outlineLevel="0" collapsed="false">
      <c r="A1137" s="144" t="s">
        <v>2023</v>
      </c>
      <c r="B1137" s="144"/>
      <c r="C1137" s="144" t="s">
        <v>630</v>
      </c>
      <c r="D1137" s="146" t="s">
        <v>630</v>
      </c>
      <c r="E1137" s="145" t="n">
        <v>38</v>
      </c>
      <c r="F1137" s="145" t="n">
        <v>96</v>
      </c>
      <c r="G1137" s="146" t="s">
        <v>236</v>
      </c>
    </row>
    <row r="1138" customFormat="false" ht="15.75" hidden="false" customHeight="true" outlineLevel="0" collapsed="false">
      <c r="A1138" s="144" t="s">
        <v>2024</v>
      </c>
      <c r="B1138" s="144"/>
      <c r="C1138" s="144" t="s">
        <v>630</v>
      </c>
      <c r="D1138" s="146" t="s">
        <v>630</v>
      </c>
      <c r="E1138" s="145" t="n">
        <v>38</v>
      </c>
      <c r="F1138" s="145" t="n">
        <v>96</v>
      </c>
      <c r="G1138" s="146" t="s">
        <v>236</v>
      </c>
    </row>
    <row r="1139" customFormat="false" ht="15.75" hidden="false" customHeight="true" outlineLevel="0" collapsed="false">
      <c r="A1139" s="144" t="s">
        <v>2025</v>
      </c>
      <c r="B1139" s="144"/>
      <c r="C1139" s="144" t="s">
        <v>630</v>
      </c>
      <c r="D1139" s="146" t="s">
        <v>630</v>
      </c>
      <c r="E1139" s="145" t="n">
        <v>38</v>
      </c>
      <c r="F1139" s="145" t="n">
        <v>96</v>
      </c>
      <c r="G1139" s="146" t="s">
        <v>236</v>
      </c>
    </row>
    <row r="1140" customFormat="false" ht="15.75" hidden="false" customHeight="true" outlineLevel="0" collapsed="false">
      <c r="A1140" s="144" t="s">
        <v>2026</v>
      </c>
      <c r="B1140" s="144"/>
      <c r="C1140" s="144" t="s">
        <v>630</v>
      </c>
      <c r="D1140" s="146" t="s">
        <v>630</v>
      </c>
      <c r="E1140" s="145" t="n">
        <v>38</v>
      </c>
      <c r="F1140" s="145" t="n">
        <v>96</v>
      </c>
      <c r="G1140" s="146" t="s">
        <v>236</v>
      </c>
    </row>
    <row r="1141" customFormat="false" ht="15.75" hidden="false" customHeight="true" outlineLevel="0" collapsed="false">
      <c r="A1141" s="144" t="s">
        <v>2027</v>
      </c>
      <c r="B1141" s="144"/>
      <c r="C1141" s="144" t="s">
        <v>630</v>
      </c>
      <c r="D1141" s="146" t="s">
        <v>630</v>
      </c>
      <c r="E1141" s="145" t="n">
        <v>38</v>
      </c>
      <c r="F1141" s="145" t="n">
        <v>96</v>
      </c>
      <c r="G1141" s="146" t="s">
        <v>236</v>
      </c>
    </row>
    <row r="1142" customFormat="false" ht="15.75" hidden="false" customHeight="true" outlineLevel="0" collapsed="false">
      <c r="A1142" s="144" t="s">
        <v>2028</v>
      </c>
      <c r="B1142" s="144"/>
      <c r="C1142" s="144" t="s">
        <v>630</v>
      </c>
      <c r="D1142" s="146" t="s">
        <v>630</v>
      </c>
      <c r="E1142" s="145" t="n">
        <v>38</v>
      </c>
      <c r="F1142" s="145" t="n">
        <v>96</v>
      </c>
      <c r="G1142" s="146" t="s">
        <v>236</v>
      </c>
    </row>
    <row r="1143" customFormat="false" ht="15.75" hidden="false" customHeight="true" outlineLevel="0" collapsed="false">
      <c r="A1143" s="144" t="s">
        <v>2029</v>
      </c>
      <c r="B1143" s="144"/>
      <c r="C1143" s="144" t="s">
        <v>630</v>
      </c>
      <c r="D1143" s="146" t="s">
        <v>630</v>
      </c>
      <c r="E1143" s="145" t="n">
        <v>38</v>
      </c>
      <c r="F1143" s="145" t="n">
        <v>96</v>
      </c>
      <c r="G1143" s="146" t="s">
        <v>236</v>
      </c>
    </row>
    <row r="1144" customFormat="false" ht="15.75" hidden="false" customHeight="true" outlineLevel="0" collapsed="false">
      <c r="A1144" s="144" t="s">
        <v>2030</v>
      </c>
      <c r="B1144" s="144"/>
      <c r="C1144" s="144" t="s">
        <v>630</v>
      </c>
      <c r="D1144" s="146" t="s">
        <v>630</v>
      </c>
      <c r="E1144" s="145" t="n">
        <v>38</v>
      </c>
      <c r="F1144" s="145" t="n">
        <v>96</v>
      </c>
      <c r="G1144" s="146" t="s">
        <v>236</v>
      </c>
    </row>
    <row r="1145" customFormat="false" ht="15.75" hidden="false" customHeight="true" outlineLevel="0" collapsed="false">
      <c r="A1145" s="144" t="s">
        <v>2031</v>
      </c>
      <c r="B1145" s="144"/>
      <c r="C1145" s="144" t="s">
        <v>630</v>
      </c>
      <c r="D1145" s="146" t="s">
        <v>630</v>
      </c>
      <c r="E1145" s="145" t="n">
        <v>38</v>
      </c>
      <c r="F1145" s="145" t="n">
        <v>96</v>
      </c>
      <c r="G1145" s="146" t="s">
        <v>236</v>
      </c>
    </row>
    <row r="1146" customFormat="false" ht="15.75" hidden="false" customHeight="true" outlineLevel="0" collapsed="false">
      <c r="A1146" s="144" t="s">
        <v>2032</v>
      </c>
      <c r="B1146" s="144"/>
      <c r="C1146" s="144" t="s">
        <v>630</v>
      </c>
      <c r="D1146" s="146" t="s">
        <v>630</v>
      </c>
      <c r="E1146" s="145" t="n">
        <v>38</v>
      </c>
      <c r="F1146" s="145" t="n">
        <v>96</v>
      </c>
      <c r="G1146" s="146" t="s">
        <v>236</v>
      </c>
    </row>
    <row r="1147" customFormat="false" ht="15.75" hidden="false" customHeight="true" outlineLevel="0" collapsed="false">
      <c r="A1147" s="144" t="s">
        <v>2033</v>
      </c>
      <c r="B1147" s="144"/>
      <c r="C1147" s="144" t="s">
        <v>630</v>
      </c>
      <c r="D1147" s="146" t="s">
        <v>630</v>
      </c>
      <c r="E1147" s="145" t="n">
        <v>38</v>
      </c>
      <c r="F1147" s="145" t="n">
        <v>96</v>
      </c>
      <c r="G1147" s="146" t="s">
        <v>236</v>
      </c>
    </row>
    <row r="1148" customFormat="false" ht="15.75" hidden="false" customHeight="true" outlineLevel="0" collapsed="false">
      <c r="A1148" s="144" t="s">
        <v>2034</v>
      </c>
      <c r="B1148" s="144"/>
      <c r="C1148" s="144" t="s">
        <v>714</v>
      </c>
      <c r="D1148" s="146" t="s">
        <v>714</v>
      </c>
      <c r="E1148" s="145" t="n">
        <v>5950</v>
      </c>
      <c r="F1148" s="145" t="n">
        <v>10539</v>
      </c>
      <c r="G1148" s="146" t="s">
        <v>236</v>
      </c>
    </row>
    <row r="1149" customFormat="false" ht="15.75" hidden="false" customHeight="true" outlineLevel="0" collapsed="false">
      <c r="A1149" s="144" t="s">
        <v>2035</v>
      </c>
      <c r="B1149" s="144" t="s">
        <v>2036</v>
      </c>
      <c r="C1149" s="144"/>
      <c r="D1149" s="146" t="s">
        <v>2036</v>
      </c>
      <c r="E1149" s="145" t="n">
        <v>385000</v>
      </c>
      <c r="F1149" s="145" t="n">
        <v>685000</v>
      </c>
      <c r="G1149" s="146" t="s">
        <v>236</v>
      </c>
    </row>
    <row r="1150" customFormat="false" ht="15.75" hidden="false" customHeight="true" outlineLevel="0" collapsed="false">
      <c r="A1150" s="144" t="s">
        <v>2037</v>
      </c>
      <c r="B1150" s="144"/>
      <c r="C1150" s="144" t="s">
        <v>630</v>
      </c>
      <c r="D1150" s="146" t="s">
        <v>630</v>
      </c>
      <c r="E1150" s="145" t="n">
        <v>38</v>
      </c>
      <c r="F1150" s="145" t="n">
        <v>96</v>
      </c>
      <c r="G1150" s="146" t="s">
        <v>236</v>
      </c>
    </row>
    <row r="1151" customFormat="false" ht="15.75" hidden="false" customHeight="true" outlineLevel="0" collapsed="false">
      <c r="A1151" s="144" t="s">
        <v>2038</v>
      </c>
      <c r="B1151" s="144"/>
      <c r="C1151" s="144" t="s">
        <v>630</v>
      </c>
      <c r="D1151" s="146" t="s">
        <v>630</v>
      </c>
      <c r="E1151" s="145" t="n">
        <v>38</v>
      </c>
      <c r="F1151" s="145" t="n">
        <v>96</v>
      </c>
      <c r="G1151" s="146" t="s">
        <v>236</v>
      </c>
    </row>
    <row r="1152" customFormat="false" ht="15.75" hidden="false" customHeight="true" outlineLevel="0" collapsed="false">
      <c r="A1152" s="144" t="s">
        <v>2039</v>
      </c>
      <c r="B1152" s="144"/>
      <c r="C1152" s="144" t="s">
        <v>630</v>
      </c>
      <c r="D1152" s="146" t="s">
        <v>630</v>
      </c>
      <c r="E1152" s="145" t="n">
        <v>38</v>
      </c>
      <c r="F1152" s="145" t="n">
        <v>96</v>
      </c>
      <c r="G1152" s="146" t="s">
        <v>236</v>
      </c>
    </row>
    <row r="1153" customFormat="false" ht="15.75" hidden="false" customHeight="true" outlineLevel="0" collapsed="false">
      <c r="A1153" s="144" t="s">
        <v>2040</v>
      </c>
      <c r="B1153" s="144"/>
      <c r="C1153" s="144" t="s">
        <v>630</v>
      </c>
      <c r="D1153" s="146" t="s">
        <v>630</v>
      </c>
      <c r="E1153" s="145" t="n">
        <v>38</v>
      </c>
      <c r="F1153" s="145" t="n">
        <v>96</v>
      </c>
      <c r="G1153" s="146" t="s">
        <v>236</v>
      </c>
    </row>
    <row r="1154" customFormat="false" ht="15.75" hidden="false" customHeight="true" outlineLevel="0" collapsed="false">
      <c r="A1154" s="144" t="s">
        <v>2041</v>
      </c>
      <c r="B1154" s="144"/>
      <c r="C1154" s="144" t="s">
        <v>630</v>
      </c>
      <c r="D1154" s="146" t="s">
        <v>630</v>
      </c>
      <c r="E1154" s="145" t="n">
        <v>38</v>
      </c>
      <c r="F1154" s="145" t="n">
        <v>96</v>
      </c>
      <c r="G1154" s="146" t="s">
        <v>236</v>
      </c>
    </row>
    <row r="1155" customFormat="false" ht="15.75" hidden="false" customHeight="true" outlineLevel="0" collapsed="false">
      <c r="A1155" s="144" t="s">
        <v>2042</v>
      </c>
      <c r="B1155" s="144"/>
      <c r="C1155" s="144" t="s">
        <v>630</v>
      </c>
      <c r="D1155" s="146" t="s">
        <v>630</v>
      </c>
      <c r="E1155" s="145" t="n">
        <v>38</v>
      </c>
      <c r="F1155" s="145" t="n">
        <v>96</v>
      </c>
      <c r="G1155" s="146" t="s">
        <v>236</v>
      </c>
    </row>
    <row r="1156" customFormat="false" ht="15.75" hidden="false" customHeight="true" outlineLevel="0" collapsed="false">
      <c r="A1156" s="144" t="s">
        <v>2043</v>
      </c>
      <c r="B1156" s="144"/>
      <c r="C1156" s="144" t="s">
        <v>714</v>
      </c>
      <c r="D1156" s="146" t="s">
        <v>714</v>
      </c>
      <c r="E1156" s="145" t="n">
        <v>5950</v>
      </c>
      <c r="F1156" s="145" t="n">
        <v>10539</v>
      </c>
      <c r="G1156" s="146" t="s">
        <v>236</v>
      </c>
    </row>
    <row r="1157" customFormat="false" ht="15.75" hidden="false" customHeight="true" outlineLevel="0" collapsed="false">
      <c r="A1157" s="144" t="s">
        <v>2044</v>
      </c>
      <c r="B1157" s="144"/>
      <c r="C1157" s="144" t="s">
        <v>630</v>
      </c>
      <c r="D1157" s="146" t="s">
        <v>630</v>
      </c>
      <c r="E1157" s="145" t="n">
        <v>38</v>
      </c>
      <c r="F1157" s="145" t="n">
        <v>96</v>
      </c>
      <c r="G1157" s="146" t="s">
        <v>236</v>
      </c>
    </row>
    <row r="1158" customFormat="false" ht="15.75" hidden="false" customHeight="true" outlineLevel="0" collapsed="false">
      <c r="A1158" s="144" t="s">
        <v>2045</v>
      </c>
      <c r="B1158" s="144"/>
      <c r="C1158" s="144" t="s">
        <v>630</v>
      </c>
      <c r="D1158" s="146" t="s">
        <v>630</v>
      </c>
      <c r="E1158" s="145" t="n">
        <v>38</v>
      </c>
      <c r="F1158" s="145" t="n">
        <v>96</v>
      </c>
      <c r="G1158" s="146" t="s">
        <v>236</v>
      </c>
    </row>
    <row r="1159" customFormat="false" ht="15.75" hidden="false" customHeight="true" outlineLevel="0" collapsed="false">
      <c r="A1159" s="144" t="s">
        <v>2046</v>
      </c>
      <c r="B1159" s="144"/>
      <c r="C1159" s="144" t="s">
        <v>630</v>
      </c>
      <c r="D1159" s="146" t="s">
        <v>630</v>
      </c>
      <c r="E1159" s="145" t="n">
        <v>38</v>
      </c>
      <c r="F1159" s="145" t="n">
        <v>96</v>
      </c>
      <c r="G1159" s="146" t="s">
        <v>236</v>
      </c>
    </row>
    <row r="1160" customFormat="false" ht="15.75" hidden="false" customHeight="true" outlineLevel="0" collapsed="false">
      <c r="A1160" s="144" t="s">
        <v>2047</v>
      </c>
      <c r="B1160" s="144"/>
      <c r="C1160" s="144" t="s">
        <v>630</v>
      </c>
      <c r="D1160" s="146" t="s">
        <v>630</v>
      </c>
      <c r="E1160" s="145" t="n">
        <v>38</v>
      </c>
      <c r="F1160" s="145" t="n">
        <v>96</v>
      </c>
      <c r="G1160" s="146" t="s">
        <v>236</v>
      </c>
    </row>
    <row r="1161" customFormat="false" ht="15.75" hidden="false" customHeight="true" outlineLevel="0" collapsed="false">
      <c r="A1161" s="144" t="s">
        <v>2048</v>
      </c>
      <c r="B1161" s="144"/>
      <c r="C1161" s="144" t="s">
        <v>714</v>
      </c>
      <c r="D1161" s="146" t="s">
        <v>714</v>
      </c>
      <c r="E1161" s="145" t="n">
        <v>5950</v>
      </c>
      <c r="F1161" s="145" t="n">
        <v>10539</v>
      </c>
      <c r="G1161" s="146" t="s">
        <v>236</v>
      </c>
    </row>
    <row r="1162" customFormat="false" ht="15.75" hidden="false" customHeight="true" outlineLevel="0" collapsed="false">
      <c r="A1162" s="144" t="s">
        <v>2049</v>
      </c>
      <c r="B1162" s="144" t="s">
        <v>2050</v>
      </c>
      <c r="C1162" s="144"/>
      <c r="D1162" s="146" t="s">
        <v>2050</v>
      </c>
      <c r="E1162" s="145" t="n">
        <v>2700</v>
      </c>
      <c r="F1162" s="145" t="n">
        <v>2700</v>
      </c>
      <c r="G1162" s="146" t="s">
        <v>236</v>
      </c>
    </row>
    <row r="1163" customFormat="false" ht="15.75" hidden="false" customHeight="true" outlineLevel="0" collapsed="false">
      <c r="A1163" s="144" t="s">
        <v>2051</v>
      </c>
      <c r="B1163" s="144"/>
      <c r="C1163" s="144" t="s">
        <v>714</v>
      </c>
      <c r="D1163" s="146" t="s">
        <v>714</v>
      </c>
      <c r="E1163" s="145" t="n">
        <v>5950</v>
      </c>
      <c r="F1163" s="145" t="n">
        <v>10539</v>
      </c>
      <c r="G1163" s="146" t="s">
        <v>236</v>
      </c>
    </row>
    <row r="1164" customFormat="false" ht="15.75" hidden="false" customHeight="true" outlineLevel="0" collapsed="false">
      <c r="A1164" s="144" t="s">
        <v>2052</v>
      </c>
      <c r="B1164" s="144" t="s">
        <v>2053</v>
      </c>
      <c r="C1164" s="144"/>
      <c r="D1164" s="146" t="s">
        <v>2053</v>
      </c>
      <c r="E1164" s="145" t="n">
        <v>128</v>
      </c>
      <c r="F1164" s="145" t="n">
        <v>402</v>
      </c>
      <c r="G1164" s="146" t="s">
        <v>236</v>
      </c>
    </row>
    <row r="1165" customFormat="false" ht="15.75" hidden="false" customHeight="true" outlineLevel="0" collapsed="false">
      <c r="A1165" s="144" t="s">
        <v>2054</v>
      </c>
      <c r="B1165" s="144"/>
      <c r="C1165" s="144" t="s">
        <v>630</v>
      </c>
      <c r="D1165" s="146" t="s">
        <v>630</v>
      </c>
      <c r="E1165" s="145" t="n">
        <v>38</v>
      </c>
      <c r="F1165" s="145" t="n">
        <v>96</v>
      </c>
      <c r="G1165" s="146" t="s">
        <v>236</v>
      </c>
    </row>
    <row r="1166" customFormat="false" ht="15.75" hidden="false" customHeight="true" outlineLevel="0" collapsed="false">
      <c r="A1166" s="144" t="s">
        <v>2055</v>
      </c>
      <c r="B1166" s="144"/>
      <c r="C1166" s="144" t="s">
        <v>630</v>
      </c>
      <c r="D1166" s="146" t="s">
        <v>630</v>
      </c>
      <c r="E1166" s="145" t="n">
        <v>38</v>
      </c>
      <c r="F1166" s="145" t="n">
        <v>96</v>
      </c>
      <c r="G1166" s="146" t="s">
        <v>236</v>
      </c>
    </row>
    <row r="1167" customFormat="false" ht="15.75" hidden="false" customHeight="true" outlineLevel="0" collapsed="false">
      <c r="A1167" s="144" t="s">
        <v>2056</v>
      </c>
      <c r="B1167" s="144"/>
      <c r="C1167" s="144" t="s">
        <v>714</v>
      </c>
      <c r="D1167" s="146" t="s">
        <v>714</v>
      </c>
      <c r="E1167" s="145" t="n">
        <v>5950</v>
      </c>
      <c r="F1167" s="145" t="n">
        <v>10539</v>
      </c>
      <c r="G1167" s="146" t="s">
        <v>236</v>
      </c>
    </row>
    <row r="1168" customFormat="false" ht="15.75" hidden="false" customHeight="true" outlineLevel="0" collapsed="false">
      <c r="A1168" s="144" t="s">
        <v>2057</v>
      </c>
      <c r="B1168" s="144"/>
      <c r="C1168" s="144" t="s">
        <v>630</v>
      </c>
      <c r="D1168" s="146" t="s">
        <v>630</v>
      </c>
      <c r="E1168" s="145" t="n">
        <v>38</v>
      </c>
      <c r="F1168" s="145" t="n">
        <v>96</v>
      </c>
      <c r="G1168" s="146" t="s">
        <v>236</v>
      </c>
    </row>
    <row r="1169" customFormat="false" ht="15.75" hidden="false" customHeight="true" outlineLevel="0" collapsed="false">
      <c r="A1169" s="144" t="s">
        <v>2058</v>
      </c>
      <c r="B1169" s="144"/>
      <c r="C1169" s="144" t="s">
        <v>630</v>
      </c>
      <c r="D1169" s="146" t="s">
        <v>630</v>
      </c>
      <c r="E1169" s="145" t="n">
        <v>38</v>
      </c>
      <c r="F1169" s="145" t="n">
        <v>96</v>
      </c>
      <c r="G1169" s="146" t="s">
        <v>236</v>
      </c>
    </row>
    <row r="1170" customFormat="false" ht="15.75" hidden="false" customHeight="true" outlineLevel="0" collapsed="false">
      <c r="A1170" s="144" t="s">
        <v>2059</v>
      </c>
      <c r="B1170" s="144"/>
      <c r="C1170" s="144" t="s">
        <v>630</v>
      </c>
      <c r="D1170" s="146" t="s">
        <v>630</v>
      </c>
      <c r="E1170" s="145" t="n">
        <v>38</v>
      </c>
      <c r="F1170" s="145" t="n">
        <v>96</v>
      </c>
      <c r="G1170" s="146" t="s">
        <v>236</v>
      </c>
    </row>
    <row r="1171" customFormat="false" ht="15.75" hidden="false" customHeight="true" outlineLevel="0" collapsed="false">
      <c r="A1171" s="144" t="s">
        <v>2060</v>
      </c>
      <c r="B1171" s="144"/>
      <c r="C1171" s="144" t="s">
        <v>630</v>
      </c>
      <c r="D1171" s="146" t="s">
        <v>630</v>
      </c>
      <c r="E1171" s="145" t="n">
        <v>38</v>
      </c>
      <c r="F1171" s="145" t="n">
        <v>96</v>
      </c>
      <c r="G1171" s="146" t="s">
        <v>236</v>
      </c>
    </row>
    <row r="1172" customFormat="false" ht="15.75" hidden="false" customHeight="true" outlineLevel="0" collapsed="false">
      <c r="A1172" s="144" t="s">
        <v>2061</v>
      </c>
      <c r="B1172" s="144" t="s">
        <v>2062</v>
      </c>
      <c r="C1172" s="144"/>
      <c r="D1172" s="146" t="s">
        <v>2062</v>
      </c>
      <c r="E1172" s="145" t="n">
        <v>2016</v>
      </c>
      <c r="F1172" s="145" t="n">
        <v>2016</v>
      </c>
      <c r="G1172" s="146" t="s">
        <v>236</v>
      </c>
    </row>
    <row r="1173" customFormat="false" ht="15.75" hidden="false" customHeight="true" outlineLevel="0" collapsed="false">
      <c r="A1173" s="144" t="s">
        <v>2063</v>
      </c>
      <c r="B1173" s="144"/>
      <c r="C1173" s="144" t="s">
        <v>630</v>
      </c>
      <c r="D1173" s="146" t="s">
        <v>630</v>
      </c>
      <c r="E1173" s="145" t="n">
        <v>38</v>
      </c>
      <c r="F1173" s="145" t="n">
        <v>96</v>
      </c>
      <c r="G1173" s="146" t="s">
        <v>236</v>
      </c>
    </row>
    <row r="1174" customFormat="false" ht="15.75" hidden="false" customHeight="true" outlineLevel="0" collapsed="false">
      <c r="A1174" s="144" t="s">
        <v>2064</v>
      </c>
      <c r="B1174" s="144"/>
      <c r="C1174" s="144" t="s">
        <v>630</v>
      </c>
      <c r="D1174" s="146" t="s">
        <v>630</v>
      </c>
      <c r="E1174" s="145" t="n">
        <v>38</v>
      </c>
      <c r="F1174" s="145" t="n">
        <v>96</v>
      </c>
      <c r="G1174" s="146" t="s">
        <v>236</v>
      </c>
    </row>
    <row r="1175" customFormat="false" ht="15.75" hidden="false" customHeight="true" outlineLevel="0" collapsed="false">
      <c r="A1175" s="144" t="s">
        <v>2065</v>
      </c>
      <c r="B1175" s="144"/>
      <c r="C1175" s="144" t="s">
        <v>630</v>
      </c>
      <c r="D1175" s="146" t="s">
        <v>630</v>
      </c>
      <c r="E1175" s="145" t="n">
        <v>38</v>
      </c>
      <c r="F1175" s="145" t="n">
        <v>96</v>
      </c>
      <c r="G1175" s="146" t="s">
        <v>236</v>
      </c>
    </row>
    <row r="1176" customFormat="false" ht="15.75" hidden="false" customHeight="true" outlineLevel="0" collapsed="false">
      <c r="A1176" s="144" t="s">
        <v>2066</v>
      </c>
      <c r="B1176" s="144" t="s">
        <v>2067</v>
      </c>
      <c r="C1176" s="144"/>
      <c r="D1176" s="146" t="s">
        <v>2067</v>
      </c>
      <c r="E1176" s="145" t="n">
        <v>60000</v>
      </c>
      <c r="F1176" s="145" t="n">
        <v>96000</v>
      </c>
      <c r="G1176" s="146" t="s">
        <v>236</v>
      </c>
    </row>
    <row r="1177" customFormat="false" ht="15.75" hidden="false" customHeight="true" outlineLevel="0" collapsed="false">
      <c r="A1177" s="144" t="s">
        <v>2068</v>
      </c>
      <c r="B1177" s="144"/>
      <c r="C1177" s="144" t="s">
        <v>714</v>
      </c>
      <c r="D1177" s="146" t="s">
        <v>714</v>
      </c>
      <c r="E1177" s="145" t="n">
        <v>5950</v>
      </c>
      <c r="F1177" s="145" t="n">
        <v>10539</v>
      </c>
      <c r="G1177" s="146" t="s">
        <v>236</v>
      </c>
    </row>
    <row r="1178" customFormat="false" ht="15.75" hidden="false" customHeight="true" outlineLevel="0" collapsed="false">
      <c r="A1178" s="144" t="s">
        <v>2069</v>
      </c>
      <c r="B1178" s="144"/>
      <c r="C1178" s="144" t="s">
        <v>630</v>
      </c>
      <c r="D1178" s="146" t="s">
        <v>630</v>
      </c>
      <c r="E1178" s="145" t="n">
        <v>38</v>
      </c>
      <c r="F1178" s="145" t="n">
        <v>96</v>
      </c>
      <c r="G1178" s="146" t="s">
        <v>236</v>
      </c>
    </row>
    <row r="1179" customFormat="false" ht="15.75" hidden="false" customHeight="true" outlineLevel="0" collapsed="false">
      <c r="A1179" s="144" t="s">
        <v>2070</v>
      </c>
      <c r="B1179" s="144" t="s">
        <v>2071</v>
      </c>
      <c r="C1179" s="144"/>
      <c r="D1179" s="146" t="s">
        <v>2071</v>
      </c>
      <c r="E1179" s="145" t="n">
        <v>3080</v>
      </c>
      <c r="F1179" s="145" t="n">
        <v>4200</v>
      </c>
      <c r="G1179" s="146" t="s">
        <v>236</v>
      </c>
    </row>
    <row r="1180" customFormat="false" ht="15.75" hidden="false" customHeight="true" outlineLevel="0" collapsed="false">
      <c r="A1180" s="144" t="s">
        <v>2072</v>
      </c>
      <c r="B1180" s="144"/>
      <c r="C1180" s="144" t="s">
        <v>630</v>
      </c>
      <c r="D1180" s="146" t="s">
        <v>630</v>
      </c>
      <c r="E1180" s="145" t="n">
        <v>38</v>
      </c>
      <c r="F1180" s="145" t="n">
        <v>96</v>
      </c>
      <c r="G1180" s="146" t="s">
        <v>236</v>
      </c>
    </row>
    <row r="1181" customFormat="false" ht="15.75" hidden="false" customHeight="true" outlineLevel="0" collapsed="false">
      <c r="A1181" s="144" t="s">
        <v>2073</v>
      </c>
      <c r="B1181" s="144"/>
      <c r="C1181" s="144" t="s">
        <v>630</v>
      </c>
      <c r="D1181" s="146" t="s">
        <v>630</v>
      </c>
      <c r="E1181" s="145" t="n">
        <v>38</v>
      </c>
      <c r="F1181" s="145" t="n">
        <v>96</v>
      </c>
      <c r="G1181" s="146" t="s">
        <v>236</v>
      </c>
    </row>
    <row r="1182" customFormat="false" ht="15.75" hidden="false" customHeight="true" outlineLevel="0" collapsed="false">
      <c r="A1182" s="144" t="s">
        <v>2074</v>
      </c>
      <c r="B1182" s="144"/>
      <c r="C1182" s="144" t="s">
        <v>630</v>
      </c>
      <c r="D1182" s="146" t="s">
        <v>630</v>
      </c>
      <c r="E1182" s="145" t="n">
        <v>38</v>
      </c>
      <c r="F1182" s="145" t="n">
        <v>96</v>
      </c>
      <c r="G1182" s="146" t="s">
        <v>236</v>
      </c>
    </row>
    <row r="1183" customFormat="false" ht="15.75" hidden="false" customHeight="true" outlineLevel="0" collapsed="false">
      <c r="A1183" s="144" t="s">
        <v>2075</v>
      </c>
      <c r="B1183" s="144"/>
      <c r="C1183" s="144" t="s">
        <v>714</v>
      </c>
      <c r="D1183" s="146" t="s">
        <v>714</v>
      </c>
      <c r="E1183" s="145" t="n">
        <v>5950</v>
      </c>
      <c r="F1183" s="145" t="n">
        <v>10539</v>
      </c>
      <c r="G1183" s="146" t="s">
        <v>236</v>
      </c>
    </row>
    <row r="1184" customFormat="false" ht="15.75" hidden="false" customHeight="true" outlineLevel="0" collapsed="false">
      <c r="A1184" s="144" t="s">
        <v>2076</v>
      </c>
      <c r="B1184" s="144"/>
      <c r="C1184" s="144" t="s">
        <v>630</v>
      </c>
      <c r="D1184" s="146" t="s">
        <v>630</v>
      </c>
      <c r="E1184" s="145" t="n">
        <v>38</v>
      </c>
      <c r="F1184" s="145" t="n">
        <v>96</v>
      </c>
      <c r="G1184" s="146" t="s">
        <v>236</v>
      </c>
    </row>
    <row r="1185" customFormat="false" ht="15.75" hidden="false" customHeight="true" outlineLevel="0" collapsed="false">
      <c r="A1185" s="144" t="s">
        <v>2077</v>
      </c>
      <c r="B1185" s="144"/>
      <c r="C1185" s="144" t="s">
        <v>630</v>
      </c>
      <c r="D1185" s="146" t="s">
        <v>630</v>
      </c>
      <c r="E1185" s="145" t="n">
        <v>38</v>
      </c>
      <c r="F1185" s="145" t="n">
        <v>96</v>
      </c>
      <c r="G1185" s="146" t="s">
        <v>236</v>
      </c>
    </row>
    <row r="1186" customFormat="false" ht="15.75" hidden="false" customHeight="true" outlineLevel="0" collapsed="false">
      <c r="A1186" s="144" t="s">
        <v>2078</v>
      </c>
      <c r="B1186" s="144"/>
      <c r="C1186" s="144" t="s">
        <v>630</v>
      </c>
      <c r="D1186" s="146" t="s">
        <v>630</v>
      </c>
      <c r="E1186" s="145" t="n">
        <v>38</v>
      </c>
      <c r="F1186" s="145" t="n">
        <v>96</v>
      </c>
      <c r="G1186" s="146" t="s">
        <v>236</v>
      </c>
    </row>
    <row r="1187" customFormat="false" ht="15.75" hidden="false" customHeight="true" outlineLevel="0" collapsed="false">
      <c r="A1187" s="144" t="s">
        <v>2079</v>
      </c>
      <c r="B1187" s="144"/>
      <c r="C1187" s="144" t="s">
        <v>630</v>
      </c>
      <c r="D1187" s="146" t="s">
        <v>630</v>
      </c>
      <c r="E1187" s="145" t="n">
        <v>38</v>
      </c>
      <c r="F1187" s="145" t="n">
        <v>96</v>
      </c>
      <c r="G1187" s="146" t="s">
        <v>236</v>
      </c>
    </row>
    <row r="1188" customFormat="false" ht="15.75" hidden="false" customHeight="true" outlineLevel="0" collapsed="false">
      <c r="A1188" s="144" t="s">
        <v>2080</v>
      </c>
      <c r="B1188" s="144"/>
      <c r="C1188" s="144" t="s">
        <v>714</v>
      </c>
      <c r="D1188" s="146" t="s">
        <v>714</v>
      </c>
      <c r="E1188" s="145" t="n">
        <v>5950</v>
      </c>
      <c r="F1188" s="145" t="n">
        <v>10539</v>
      </c>
      <c r="G1188" s="146" t="s">
        <v>236</v>
      </c>
    </row>
    <row r="1189" customFormat="false" ht="15.75" hidden="false" customHeight="true" outlineLevel="0" collapsed="false">
      <c r="A1189" s="144" t="s">
        <v>2081</v>
      </c>
      <c r="B1189" s="144"/>
      <c r="C1189" s="144" t="s">
        <v>630</v>
      </c>
      <c r="D1189" s="146" t="s">
        <v>630</v>
      </c>
      <c r="E1189" s="145" t="n">
        <v>38</v>
      </c>
      <c r="F1189" s="145" t="n">
        <v>96</v>
      </c>
      <c r="G1189" s="146" t="s">
        <v>236</v>
      </c>
    </row>
    <row r="1190" customFormat="false" ht="15.75" hidden="false" customHeight="true" outlineLevel="0" collapsed="false">
      <c r="A1190" s="144" t="s">
        <v>2082</v>
      </c>
      <c r="B1190" s="144"/>
      <c r="C1190" s="144" t="s">
        <v>630</v>
      </c>
      <c r="D1190" s="146" t="s">
        <v>630</v>
      </c>
      <c r="E1190" s="145" t="n">
        <v>38</v>
      </c>
      <c r="F1190" s="145" t="n">
        <v>96</v>
      </c>
      <c r="G1190" s="146" t="s">
        <v>236</v>
      </c>
    </row>
    <row r="1191" customFormat="false" ht="15.75" hidden="false" customHeight="true" outlineLevel="0" collapsed="false">
      <c r="A1191" s="144" t="s">
        <v>2083</v>
      </c>
      <c r="B1191" s="144"/>
      <c r="C1191" s="144" t="s">
        <v>630</v>
      </c>
      <c r="D1191" s="146" t="s">
        <v>630</v>
      </c>
      <c r="E1191" s="145" t="n">
        <v>38</v>
      </c>
      <c r="F1191" s="145" t="n">
        <v>96</v>
      </c>
      <c r="G1191" s="146" t="s">
        <v>236</v>
      </c>
    </row>
    <row r="1192" customFormat="false" ht="15.75" hidden="false" customHeight="true" outlineLevel="0" collapsed="false">
      <c r="A1192" s="144" t="s">
        <v>2084</v>
      </c>
      <c r="B1192" s="144"/>
      <c r="C1192" s="144" t="s">
        <v>630</v>
      </c>
      <c r="D1192" s="146" t="s">
        <v>630</v>
      </c>
      <c r="E1192" s="145" t="n">
        <v>38</v>
      </c>
      <c r="F1192" s="145" t="n">
        <v>96</v>
      </c>
      <c r="G1192" s="146" t="s">
        <v>236</v>
      </c>
    </row>
    <row r="1193" customFormat="false" ht="15.75" hidden="false" customHeight="true" outlineLevel="0" collapsed="false">
      <c r="A1193" s="144" t="s">
        <v>569</v>
      </c>
      <c r="B1193" s="144" t="s">
        <v>2085</v>
      </c>
      <c r="C1193" s="144"/>
      <c r="D1193" s="146" t="s">
        <v>2085</v>
      </c>
      <c r="E1193" s="145" t="n">
        <v>1818</v>
      </c>
      <c r="F1193" s="145" t="n">
        <v>3636</v>
      </c>
      <c r="G1193" s="146" t="s">
        <v>236</v>
      </c>
    </row>
    <row r="1194" customFormat="false" ht="15.75" hidden="false" customHeight="true" outlineLevel="0" collapsed="false">
      <c r="A1194" s="144" t="s">
        <v>2086</v>
      </c>
      <c r="B1194" s="144" t="s">
        <v>2087</v>
      </c>
      <c r="C1194" s="144"/>
      <c r="D1194" s="146" t="s">
        <v>2087</v>
      </c>
      <c r="E1194" s="145" t="n">
        <v>26000</v>
      </c>
      <c r="F1194" s="145" t="n">
        <v>26000</v>
      </c>
      <c r="G1194" s="146" t="s">
        <v>236</v>
      </c>
    </row>
    <row r="1195" customFormat="false" ht="15.75" hidden="false" customHeight="true" outlineLevel="0" collapsed="false">
      <c r="A1195" s="144" t="s">
        <v>2088</v>
      </c>
      <c r="B1195" s="144"/>
      <c r="C1195" s="144" t="s">
        <v>630</v>
      </c>
      <c r="D1195" s="146" t="s">
        <v>630</v>
      </c>
      <c r="E1195" s="145" t="n">
        <v>38</v>
      </c>
      <c r="F1195" s="145" t="n">
        <v>96</v>
      </c>
      <c r="G1195" s="146" t="s">
        <v>236</v>
      </c>
    </row>
    <row r="1196" customFormat="false" ht="15.75" hidden="false" customHeight="true" outlineLevel="0" collapsed="false">
      <c r="A1196" s="144" t="s">
        <v>2089</v>
      </c>
      <c r="B1196" s="144"/>
      <c r="C1196" s="144" t="s">
        <v>630</v>
      </c>
      <c r="D1196" s="146" t="s">
        <v>630</v>
      </c>
      <c r="E1196" s="145" t="n">
        <v>38</v>
      </c>
      <c r="F1196" s="145" t="n">
        <v>96</v>
      </c>
      <c r="G1196" s="146" t="s">
        <v>236</v>
      </c>
    </row>
    <row r="1197" customFormat="false" ht="15.75" hidden="false" customHeight="true" outlineLevel="0" collapsed="false">
      <c r="A1197" s="144" t="s">
        <v>2090</v>
      </c>
      <c r="B1197" s="144"/>
      <c r="C1197" s="144" t="s">
        <v>630</v>
      </c>
      <c r="D1197" s="146" t="s">
        <v>630</v>
      </c>
      <c r="E1197" s="145" t="n">
        <v>38</v>
      </c>
      <c r="F1197" s="145" t="n">
        <v>96</v>
      </c>
      <c r="G1197" s="146" t="s">
        <v>236</v>
      </c>
    </row>
    <row r="1198" customFormat="false" ht="15.75" hidden="false" customHeight="true" outlineLevel="0" collapsed="false">
      <c r="A1198" s="144" t="s">
        <v>2091</v>
      </c>
      <c r="B1198" s="144"/>
      <c r="C1198" s="144" t="s">
        <v>714</v>
      </c>
      <c r="D1198" s="146" t="s">
        <v>714</v>
      </c>
      <c r="E1198" s="145" t="n">
        <v>5950</v>
      </c>
      <c r="F1198" s="145" t="n">
        <v>10539</v>
      </c>
      <c r="G1198" s="146" t="s">
        <v>236</v>
      </c>
    </row>
    <row r="1199" customFormat="false" ht="15.75" hidden="false" customHeight="true" outlineLevel="0" collapsed="false">
      <c r="A1199" s="144" t="s">
        <v>2092</v>
      </c>
      <c r="B1199" s="144"/>
      <c r="C1199" s="144" t="s">
        <v>630</v>
      </c>
      <c r="D1199" s="146" t="s">
        <v>630</v>
      </c>
      <c r="E1199" s="145" t="n">
        <v>38</v>
      </c>
      <c r="F1199" s="145" t="n">
        <v>96</v>
      </c>
      <c r="G1199" s="146" t="s">
        <v>236</v>
      </c>
    </row>
    <row r="1200" customFormat="false" ht="15.75" hidden="false" customHeight="true" outlineLevel="0" collapsed="false">
      <c r="A1200" s="144" t="s">
        <v>2093</v>
      </c>
      <c r="B1200" s="144"/>
      <c r="C1200" s="144" t="s">
        <v>630</v>
      </c>
      <c r="D1200" s="146" t="s">
        <v>630</v>
      </c>
      <c r="E1200" s="145" t="n">
        <v>38</v>
      </c>
      <c r="F1200" s="145" t="n">
        <v>96</v>
      </c>
      <c r="G1200" s="146" t="s">
        <v>236</v>
      </c>
    </row>
    <row r="1201" customFormat="false" ht="15.75" hidden="false" customHeight="true" outlineLevel="0" collapsed="false">
      <c r="A1201" s="144" t="s">
        <v>2094</v>
      </c>
      <c r="B1201" s="144"/>
      <c r="C1201" s="144" t="s">
        <v>630</v>
      </c>
      <c r="D1201" s="146" t="s">
        <v>630</v>
      </c>
      <c r="E1201" s="145" t="n">
        <v>38</v>
      </c>
      <c r="F1201" s="145" t="n">
        <v>96</v>
      </c>
      <c r="G1201" s="146" t="s">
        <v>236</v>
      </c>
    </row>
    <row r="1202" customFormat="false" ht="15.75" hidden="false" customHeight="true" outlineLevel="0" collapsed="false">
      <c r="A1202" s="144" t="s">
        <v>2095</v>
      </c>
      <c r="B1202" s="144"/>
      <c r="C1202" s="144" t="s">
        <v>630</v>
      </c>
      <c r="D1202" s="146" t="s">
        <v>630</v>
      </c>
      <c r="E1202" s="145" t="n">
        <v>38</v>
      </c>
      <c r="F1202" s="145" t="n">
        <v>96</v>
      </c>
      <c r="G1202" s="146" t="s">
        <v>236</v>
      </c>
    </row>
    <row r="1203" customFormat="false" ht="15.75" hidden="false" customHeight="true" outlineLevel="0" collapsed="false">
      <c r="A1203" s="144" t="s">
        <v>2096</v>
      </c>
      <c r="B1203" s="144"/>
      <c r="C1203" s="144" t="s">
        <v>630</v>
      </c>
      <c r="D1203" s="146" t="s">
        <v>630</v>
      </c>
      <c r="E1203" s="145" t="n">
        <v>38</v>
      </c>
      <c r="F1203" s="145" t="n">
        <v>96</v>
      </c>
      <c r="G1203" s="146" t="s">
        <v>236</v>
      </c>
    </row>
    <row r="1204" customFormat="false" ht="15.75" hidden="false" customHeight="true" outlineLevel="0" collapsed="false">
      <c r="A1204" s="144" t="s">
        <v>2097</v>
      </c>
      <c r="B1204" s="144"/>
      <c r="C1204" s="144" t="s">
        <v>630</v>
      </c>
      <c r="D1204" s="146" t="s">
        <v>630</v>
      </c>
      <c r="E1204" s="145" t="n">
        <v>38</v>
      </c>
      <c r="F1204" s="145" t="n">
        <v>96</v>
      </c>
      <c r="G1204" s="146" t="s">
        <v>236</v>
      </c>
    </row>
    <row r="1205" customFormat="false" ht="15.75" hidden="false" customHeight="true" outlineLevel="0" collapsed="false">
      <c r="A1205" s="144" t="s">
        <v>2098</v>
      </c>
      <c r="B1205" s="144"/>
      <c r="C1205" s="144" t="s">
        <v>630</v>
      </c>
      <c r="D1205" s="146" t="s">
        <v>630</v>
      </c>
      <c r="E1205" s="145" t="n">
        <v>38</v>
      </c>
      <c r="F1205" s="145" t="n">
        <v>96</v>
      </c>
      <c r="G1205" s="146" t="s">
        <v>236</v>
      </c>
    </row>
    <row r="1206" customFormat="false" ht="15.75" hidden="false" customHeight="true" outlineLevel="0" collapsed="false">
      <c r="A1206" s="144" t="s">
        <v>2099</v>
      </c>
      <c r="B1206" s="144"/>
      <c r="C1206" s="144" t="s">
        <v>630</v>
      </c>
      <c r="D1206" s="146" t="s">
        <v>630</v>
      </c>
      <c r="E1206" s="145" t="n">
        <v>38</v>
      </c>
      <c r="F1206" s="145" t="n">
        <v>96</v>
      </c>
      <c r="G1206" s="146" t="s">
        <v>236</v>
      </c>
    </row>
    <row r="1207" customFormat="false" ht="15.75" hidden="false" customHeight="true" outlineLevel="0" collapsed="false">
      <c r="A1207" s="144" t="s">
        <v>2100</v>
      </c>
      <c r="B1207" s="144"/>
      <c r="C1207" s="144" t="s">
        <v>630</v>
      </c>
      <c r="D1207" s="146" t="s">
        <v>630</v>
      </c>
      <c r="E1207" s="145" t="n">
        <v>38</v>
      </c>
      <c r="F1207" s="145" t="n">
        <v>96</v>
      </c>
      <c r="G1207" s="146" t="s">
        <v>236</v>
      </c>
    </row>
    <row r="1208" customFormat="false" ht="15.75" hidden="false" customHeight="true" outlineLevel="0" collapsed="false">
      <c r="A1208" s="144" t="s">
        <v>2101</v>
      </c>
      <c r="B1208" s="144"/>
      <c r="C1208" s="144" t="s">
        <v>714</v>
      </c>
      <c r="D1208" s="146" t="s">
        <v>714</v>
      </c>
      <c r="E1208" s="145" t="n">
        <v>5950</v>
      </c>
      <c r="F1208" s="145" t="n">
        <v>10539</v>
      </c>
      <c r="G1208" s="146" t="s">
        <v>236</v>
      </c>
    </row>
    <row r="1209" customFormat="false" ht="15.75" hidden="false" customHeight="true" outlineLevel="0" collapsed="false">
      <c r="A1209" s="144" t="s">
        <v>2102</v>
      </c>
      <c r="B1209" s="144"/>
      <c r="C1209" s="144" t="s">
        <v>630</v>
      </c>
      <c r="D1209" s="146" t="s">
        <v>630</v>
      </c>
      <c r="E1209" s="145" t="n">
        <v>38</v>
      </c>
      <c r="F1209" s="145" t="n">
        <v>96</v>
      </c>
      <c r="G1209" s="146" t="s">
        <v>236</v>
      </c>
    </row>
    <row r="1210" customFormat="false" ht="15.75" hidden="false" customHeight="true" outlineLevel="0" collapsed="false">
      <c r="A1210" s="144" t="s">
        <v>2103</v>
      </c>
      <c r="B1210" s="144"/>
      <c r="C1210" s="144" t="s">
        <v>630</v>
      </c>
      <c r="D1210" s="146" t="s">
        <v>630</v>
      </c>
      <c r="E1210" s="145" t="n">
        <v>38</v>
      </c>
      <c r="F1210" s="145" t="n">
        <v>96</v>
      </c>
      <c r="G1210" s="146" t="s">
        <v>236</v>
      </c>
    </row>
    <row r="1211" customFormat="false" ht="15.75" hidden="false" customHeight="true" outlineLevel="0" collapsed="false">
      <c r="A1211" s="144" t="s">
        <v>2104</v>
      </c>
      <c r="B1211" s="144"/>
      <c r="C1211" s="144" t="s">
        <v>714</v>
      </c>
      <c r="D1211" s="146" t="s">
        <v>714</v>
      </c>
      <c r="E1211" s="145" t="n">
        <v>5950</v>
      </c>
      <c r="F1211" s="145" t="n">
        <v>10539</v>
      </c>
      <c r="G1211" s="146" t="s">
        <v>236</v>
      </c>
    </row>
    <row r="1212" customFormat="false" ht="15.75" hidden="false" customHeight="true" outlineLevel="0" collapsed="false">
      <c r="A1212" s="144" t="s">
        <v>2105</v>
      </c>
      <c r="B1212" s="144"/>
      <c r="C1212" s="144" t="s">
        <v>630</v>
      </c>
      <c r="D1212" s="146" t="s">
        <v>630</v>
      </c>
      <c r="E1212" s="145" t="n">
        <v>38</v>
      </c>
      <c r="F1212" s="145" t="n">
        <v>96</v>
      </c>
      <c r="G1212" s="146" t="s">
        <v>236</v>
      </c>
    </row>
    <row r="1213" customFormat="false" ht="15.75" hidden="false" customHeight="true" outlineLevel="0" collapsed="false">
      <c r="A1213" s="144" t="s">
        <v>2106</v>
      </c>
      <c r="B1213" s="144"/>
      <c r="C1213" s="144" t="s">
        <v>630</v>
      </c>
      <c r="D1213" s="146" t="s">
        <v>630</v>
      </c>
      <c r="E1213" s="145" t="n">
        <v>38</v>
      </c>
      <c r="F1213" s="145" t="n">
        <v>96</v>
      </c>
      <c r="G1213" s="146" t="s">
        <v>236</v>
      </c>
    </row>
    <row r="1214" customFormat="false" ht="15.75" hidden="false" customHeight="true" outlineLevel="0" collapsed="false">
      <c r="A1214" s="144" t="s">
        <v>2107</v>
      </c>
      <c r="B1214" s="144"/>
      <c r="C1214" s="144" t="s">
        <v>630</v>
      </c>
      <c r="D1214" s="146" t="s">
        <v>630</v>
      </c>
      <c r="E1214" s="145" t="n">
        <v>38</v>
      </c>
      <c r="F1214" s="145" t="n">
        <v>96</v>
      </c>
      <c r="G1214" s="146" t="s">
        <v>236</v>
      </c>
    </row>
    <row r="1215" customFormat="false" ht="15.75" hidden="false" customHeight="true" outlineLevel="0" collapsed="false">
      <c r="A1215" s="144" t="s">
        <v>2108</v>
      </c>
      <c r="B1215" s="144"/>
      <c r="C1215" s="144" t="s">
        <v>630</v>
      </c>
      <c r="D1215" s="146" t="s">
        <v>630</v>
      </c>
      <c r="E1215" s="145" t="n">
        <v>38</v>
      </c>
      <c r="F1215" s="145" t="n">
        <v>96</v>
      </c>
      <c r="G1215" s="146" t="s">
        <v>236</v>
      </c>
    </row>
    <row r="1216" customFormat="false" ht="15.75" hidden="false" customHeight="true" outlineLevel="0" collapsed="false">
      <c r="A1216" s="144" t="s">
        <v>2109</v>
      </c>
      <c r="B1216" s="144"/>
      <c r="C1216" s="144" t="s">
        <v>630</v>
      </c>
      <c r="D1216" s="146" t="s">
        <v>630</v>
      </c>
      <c r="E1216" s="145" t="n">
        <v>38</v>
      </c>
      <c r="F1216" s="145" t="n">
        <v>96</v>
      </c>
      <c r="G1216" s="146" t="s">
        <v>236</v>
      </c>
    </row>
    <row r="1217" customFormat="false" ht="15.75" hidden="false" customHeight="true" outlineLevel="0" collapsed="false">
      <c r="A1217" s="144" t="s">
        <v>2110</v>
      </c>
      <c r="B1217" s="144"/>
      <c r="C1217" s="144" t="s">
        <v>630</v>
      </c>
      <c r="D1217" s="146" t="s">
        <v>630</v>
      </c>
      <c r="E1217" s="145" t="n">
        <v>38</v>
      </c>
      <c r="F1217" s="145" t="n">
        <v>96</v>
      </c>
      <c r="G1217" s="146" t="s">
        <v>236</v>
      </c>
    </row>
    <row r="1218" customFormat="false" ht="15.75" hidden="false" customHeight="true" outlineLevel="0" collapsed="false">
      <c r="A1218" s="144" t="s">
        <v>2111</v>
      </c>
      <c r="B1218" s="144"/>
      <c r="C1218" s="144" t="s">
        <v>630</v>
      </c>
      <c r="D1218" s="146" t="s">
        <v>630</v>
      </c>
      <c r="E1218" s="145" t="n">
        <v>38</v>
      </c>
      <c r="F1218" s="145" t="n">
        <v>96</v>
      </c>
      <c r="G1218" s="146" t="s">
        <v>236</v>
      </c>
    </row>
    <row r="1219" customFormat="false" ht="15.75" hidden="false" customHeight="true" outlineLevel="0" collapsed="false">
      <c r="A1219" s="144" t="s">
        <v>2112</v>
      </c>
      <c r="B1219" s="144"/>
      <c r="C1219" s="144" t="s">
        <v>630</v>
      </c>
      <c r="D1219" s="146" t="s">
        <v>630</v>
      </c>
      <c r="E1219" s="145" t="n">
        <v>38</v>
      </c>
      <c r="F1219" s="145" t="n">
        <v>96</v>
      </c>
      <c r="G1219" s="146" t="s">
        <v>236</v>
      </c>
    </row>
    <row r="1220" customFormat="false" ht="15.75" hidden="false" customHeight="true" outlineLevel="0" collapsed="false">
      <c r="A1220" s="144" t="s">
        <v>2113</v>
      </c>
      <c r="B1220" s="144"/>
      <c r="C1220" s="144" t="s">
        <v>630</v>
      </c>
      <c r="D1220" s="146" t="s">
        <v>630</v>
      </c>
      <c r="E1220" s="145" t="n">
        <v>38</v>
      </c>
      <c r="F1220" s="145" t="n">
        <v>96</v>
      </c>
      <c r="G1220" s="146" t="s">
        <v>236</v>
      </c>
    </row>
    <row r="1221" customFormat="false" ht="15.75" hidden="false" customHeight="true" outlineLevel="0" collapsed="false">
      <c r="A1221" s="144" t="s">
        <v>2114</v>
      </c>
      <c r="B1221" s="144"/>
      <c r="C1221" s="144" t="s">
        <v>630</v>
      </c>
      <c r="D1221" s="146" t="s">
        <v>630</v>
      </c>
      <c r="E1221" s="145" t="n">
        <v>38</v>
      </c>
      <c r="F1221" s="145" t="n">
        <v>96</v>
      </c>
      <c r="G1221" s="146" t="s">
        <v>236</v>
      </c>
    </row>
    <row r="1222" customFormat="false" ht="15.75" hidden="false" customHeight="true" outlineLevel="0" collapsed="false">
      <c r="A1222" s="144" t="s">
        <v>2115</v>
      </c>
      <c r="B1222" s="144"/>
      <c r="C1222" s="144" t="s">
        <v>630</v>
      </c>
      <c r="D1222" s="146" t="s">
        <v>630</v>
      </c>
      <c r="E1222" s="145" t="n">
        <v>38</v>
      </c>
      <c r="F1222" s="145" t="n">
        <v>96</v>
      </c>
      <c r="G1222" s="146" t="s">
        <v>236</v>
      </c>
    </row>
    <row r="1223" customFormat="false" ht="15.75" hidden="false" customHeight="true" outlineLevel="0" collapsed="false">
      <c r="A1223" s="144" t="s">
        <v>2116</v>
      </c>
      <c r="B1223" s="144"/>
      <c r="C1223" s="144" t="s">
        <v>714</v>
      </c>
      <c r="D1223" s="146" t="s">
        <v>714</v>
      </c>
      <c r="E1223" s="145" t="n">
        <v>5950</v>
      </c>
      <c r="F1223" s="145" t="n">
        <v>10539</v>
      </c>
      <c r="G1223" s="146" t="s">
        <v>236</v>
      </c>
    </row>
    <row r="1224" customFormat="false" ht="15.75" hidden="false" customHeight="true" outlineLevel="0" collapsed="false">
      <c r="A1224" s="144" t="s">
        <v>2117</v>
      </c>
      <c r="B1224" s="144"/>
      <c r="C1224" s="144" t="s">
        <v>714</v>
      </c>
      <c r="D1224" s="146" t="s">
        <v>714</v>
      </c>
      <c r="E1224" s="145" t="n">
        <v>5950</v>
      </c>
      <c r="F1224" s="145" t="n">
        <v>10539</v>
      </c>
      <c r="G1224" s="146" t="s">
        <v>236</v>
      </c>
    </row>
    <row r="1225" customFormat="false" ht="15.75" hidden="false" customHeight="true" outlineLevel="0" collapsed="false">
      <c r="A1225" s="144" t="s">
        <v>2118</v>
      </c>
      <c r="B1225" s="144"/>
      <c r="C1225" s="144" t="s">
        <v>630</v>
      </c>
      <c r="D1225" s="146" t="s">
        <v>630</v>
      </c>
      <c r="E1225" s="145" t="n">
        <v>38</v>
      </c>
      <c r="F1225" s="145" t="n">
        <v>96</v>
      </c>
      <c r="G1225" s="146" t="s">
        <v>236</v>
      </c>
    </row>
    <row r="1226" customFormat="false" ht="15.75" hidden="false" customHeight="true" outlineLevel="0" collapsed="false">
      <c r="A1226" s="144" t="s">
        <v>2119</v>
      </c>
      <c r="B1226" s="144"/>
      <c r="C1226" s="144" t="s">
        <v>630</v>
      </c>
      <c r="D1226" s="146" t="s">
        <v>630</v>
      </c>
      <c r="E1226" s="145" t="n">
        <v>38</v>
      </c>
      <c r="F1226" s="145" t="n">
        <v>96</v>
      </c>
      <c r="G1226" s="146" t="s">
        <v>236</v>
      </c>
    </row>
    <row r="1227" customFormat="false" ht="15.75" hidden="false" customHeight="true" outlineLevel="0" collapsed="false">
      <c r="A1227" s="144" t="s">
        <v>2120</v>
      </c>
      <c r="B1227" s="144"/>
      <c r="C1227" s="144" t="s">
        <v>630</v>
      </c>
      <c r="D1227" s="146" t="s">
        <v>630</v>
      </c>
      <c r="E1227" s="145" t="n">
        <v>38</v>
      </c>
      <c r="F1227" s="145" t="n">
        <v>96</v>
      </c>
      <c r="G1227" s="146" t="s">
        <v>236</v>
      </c>
    </row>
    <row r="1228" customFormat="false" ht="15.75" hidden="false" customHeight="true" outlineLevel="0" collapsed="false">
      <c r="A1228" s="144" t="s">
        <v>2121</v>
      </c>
      <c r="B1228" s="144"/>
      <c r="C1228" s="144" t="s">
        <v>630</v>
      </c>
      <c r="D1228" s="146" t="s">
        <v>630</v>
      </c>
      <c r="E1228" s="145" t="n">
        <v>38</v>
      </c>
      <c r="F1228" s="145" t="n">
        <v>96</v>
      </c>
      <c r="G1228" s="146" t="s">
        <v>236</v>
      </c>
    </row>
    <row r="1229" customFormat="false" ht="15.75" hidden="false" customHeight="true" outlineLevel="0" collapsed="false">
      <c r="A1229" s="144" t="s">
        <v>2122</v>
      </c>
      <c r="B1229" s="144"/>
      <c r="C1229" s="144" t="s">
        <v>630</v>
      </c>
      <c r="D1229" s="146" t="s">
        <v>630</v>
      </c>
      <c r="E1229" s="145" t="n">
        <v>38</v>
      </c>
      <c r="F1229" s="145" t="n">
        <v>96</v>
      </c>
      <c r="G1229" s="146" t="s">
        <v>236</v>
      </c>
    </row>
    <row r="1230" customFormat="false" ht="15.75" hidden="false" customHeight="true" outlineLevel="0" collapsed="false">
      <c r="A1230" s="144" t="s">
        <v>2123</v>
      </c>
      <c r="B1230" s="144"/>
      <c r="C1230" s="144" t="s">
        <v>630</v>
      </c>
      <c r="D1230" s="146" t="s">
        <v>630</v>
      </c>
      <c r="E1230" s="145" t="n">
        <v>38</v>
      </c>
      <c r="F1230" s="145" t="n">
        <v>96</v>
      </c>
      <c r="G1230" s="146" t="s">
        <v>236</v>
      </c>
    </row>
    <row r="1231" customFormat="false" ht="15.75" hidden="false" customHeight="true" outlineLevel="0" collapsed="false">
      <c r="A1231" s="144" t="s">
        <v>2124</v>
      </c>
      <c r="B1231" s="144"/>
      <c r="C1231" s="144" t="s">
        <v>714</v>
      </c>
      <c r="D1231" s="146" t="s">
        <v>714</v>
      </c>
      <c r="E1231" s="145" t="n">
        <v>5950</v>
      </c>
      <c r="F1231" s="145" t="n">
        <v>10539</v>
      </c>
      <c r="G1231" s="146" t="s">
        <v>236</v>
      </c>
    </row>
    <row r="1232" customFormat="false" ht="15.75" hidden="false" customHeight="true" outlineLevel="0" collapsed="false">
      <c r="A1232" s="144" t="s">
        <v>2125</v>
      </c>
      <c r="B1232" s="144"/>
      <c r="C1232" s="144" t="s">
        <v>630</v>
      </c>
      <c r="D1232" s="146" t="s">
        <v>630</v>
      </c>
      <c r="E1232" s="145" t="n">
        <v>38</v>
      </c>
      <c r="F1232" s="145" t="n">
        <v>96</v>
      </c>
      <c r="G1232" s="146" t="s">
        <v>236</v>
      </c>
    </row>
    <row r="1233" customFormat="false" ht="15.75" hidden="false" customHeight="true" outlineLevel="0" collapsed="false">
      <c r="A1233" s="144" t="s">
        <v>2126</v>
      </c>
      <c r="B1233" s="144"/>
      <c r="C1233" s="144" t="s">
        <v>630</v>
      </c>
      <c r="D1233" s="146" t="s">
        <v>630</v>
      </c>
      <c r="E1233" s="145" t="n">
        <v>38</v>
      </c>
      <c r="F1233" s="145" t="n">
        <v>96</v>
      </c>
      <c r="G1233" s="146" t="s">
        <v>236</v>
      </c>
    </row>
    <row r="1234" customFormat="false" ht="15.75" hidden="false" customHeight="true" outlineLevel="0" collapsed="false">
      <c r="A1234" s="144" t="s">
        <v>2127</v>
      </c>
      <c r="B1234" s="144"/>
      <c r="C1234" s="144" t="s">
        <v>630</v>
      </c>
      <c r="D1234" s="146" t="s">
        <v>630</v>
      </c>
      <c r="E1234" s="145" t="n">
        <v>38</v>
      </c>
      <c r="F1234" s="145" t="n">
        <v>96</v>
      </c>
      <c r="G1234" s="146" t="s">
        <v>236</v>
      </c>
    </row>
    <row r="1235" customFormat="false" ht="15.75" hidden="false" customHeight="true" outlineLevel="0" collapsed="false">
      <c r="A1235" s="144" t="s">
        <v>2128</v>
      </c>
      <c r="B1235" s="144"/>
      <c r="C1235" s="144" t="s">
        <v>630</v>
      </c>
      <c r="D1235" s="146" t="s">
        <v>630</v>
      </c>
      <c r="E1235" s="145" t="n">
        <v>38</v>
      </c>
      <c r="F1235" s="145" t="n">
        <v>96</v>
      </c>
      <c r="G1235" s="146" t="s">
        <v>236</v>
      </c>
    </row>
    <row r="1236" customFormat="false" ht="15.75" hidden="false" customHeight="true" outlineLevel="0" collapsed="false">
      <c r="A1236" s="144" t="s">
        <v>2129</v>
      </c>
      <c r="B1236" s="144" t="s">
        <v>2130</v>
      </c>
      <c r="C1236" s="144"/>
      <c r="D1236" s="146" t="s">
        <v>2130</v>
      </c>
      <c r="E1236" s="145" t="n">
        <v>35</v>
      </c>
      <c r="F1236" s="145" t="n">
        <v>168</v>
      </c>
      <c r="G1236" s="146" t="s">
        <v>236</v>
      </c>
    </row>
    <row r="1237" customFormat="false" ht="15.75" hidden="false" customHeight="true" outlineLevel="0" collapsed="false">
      <c r="A1237" s="144" t="s">
        <v>2131</v>
      </c>
      <c r="B1237" s="144"/>
      <c r="C1237" s="144" t="s">
        <v>630</v>
      </c>
      <c r="D1237" s="146" t="s">
        <v>630</v>
      </c>
      <c r="E1237" s="145" t="n">
        <v>38</v>
      </c>
      <c r="F1237" s="145" t="n">
        <v>96</v>
      </c>
      <c r="G1237" s="146" t="s">
        <v>236</v>
      </c>
    </row>
    <row r="1238" customFormat="false" ht="15.75" hidden="false" customHeight="true" outlineLevel="0" collapsed="false">
      <c r="A1238" s="144" t="s">
        <v>2132</v>
      </c>
      <c r="B1238" s="144" t="s">
        <v>2133</v>
      </c>
      <c r="C1238" s="144"/>
      <c r="D1238" s="146" t="s">
        <v>2133</v>
      </c>
      <c r="E1238" s="145" t="n">
        <v>13636</v>
      </c>
      <c r="F1238" s="145" t="n">
        <v>36364</v>
      </c>
      <c r="G1238" s="146" t="s">
        <v>236</v>
      </c>
    </row>
    <row r="1239" customFormat="false" ht="15.75" hidden="false" customHeight="true" outlineLevel="0" collapsed="false">
      <c r="A1239" s="144" t="s">
        <v>2134</v>
      </c>
      <c r="B1239" s="144"/>
      <c r="C1239" s="144" t="s">
        <v>630</v>
      </c>
      <c r="D1239" s="146" t="s">
        <v>630</v>
      </c>
      <c r="E1239" s="145" t="n">
        <v>38</v>
      </c>
      <c r="F1239" s="145" t="n">
        <v>96</v>
      </c>
      <c r="G1239" s="146" t="s">
        <v>236</v>
      </c>
    </row>
    <row r="1240" customFormat="false" ht="15.75" hidden="false" customHeight="true" outlineLevel="0" collapsed="false">
      <c r="A1240" s="144" t="s">
        <v>2135</v>
      </c>
      <c r="B1240" s="144"/>
      <c r="C1240" s="144" t="s">
        <v>630</v>
      </c>
      <c r="D1240" s="146" t="s">
        <v>630</v>
      </c>
      <c r="E1240" s="145" t="n">
        <v>38</v>
      </c>
      <c r="F1240" s="145" t="n">
        <v>96</v>
      </c>
      <c r="G1240" s="146" t="s">
        <v>236</v>
      </c>
    </row>
    <row r="1241" customFormat="false" ht="15.75" hidden="false" customHeight="true" outlineLevel="0" collapsed="false">
      <c r="A1241" s="144" t="s">
        <v>2136</v>
      </c>
      <c r="B1241" s="144"/>
      <c r="C1241" s="144" t="s">
        <v>630</v>
      </c>
      <c r="D1241" s="146" t="s">
        <v>630</v>
      </c>
      <c r="E1241" s="145" t="n">
        <v>38</v>
      </c>
      <c r="F1241" s="145" t="n">
        <v>96</v>
      </c>
      <c r="G1241" s="146" t="s">
        <v>236</v>
      </c>
    </row>
    <row r="1242" customFormat="false" ht="15.75" hidden="false" customHeight="true" outlineLevel="0" collapsed="false">
      <c r="A1242" s="144" t="s">
        <v>2137</v>
      </c>
      <c r="B1242" s="144"/>
      <c r="C1242" s="144" t="s">
        <v>630</v>
      </c>
      <c r="D1242" s="146" t="s">
        <v>630</v>
      </c>
      <c r="E1242" s="145" t="n">
        <v>38</v>
      </c>
      <c r="F1242" s="145" t="n">
        <v>96</v>
      </c>
      <c r="G1242" s="146" t="s">
        <v>236</v>
      </c>
    </row>
    <row r="1243" customFormat="false" ht="15.75" hidden="false" customHeight="true" outlineLevel="0" collapsed="false">
      <c r="A1243" s="144" t="s">
        <v>2138</v>
      </c>
      <c r="B1243" s="144" t="s">
        <v>2139</v>
      </c>
      <c r="C1243" s="144"/>
      <c r="D1243" s="146" t="s">
        <v>2139</v>
      </c>
      <c r="E1243" s="145" t="n">
        <v>4545</v>
      </c>
      <c r="F1243" s="145" t="n">
        <v>9090</v>
      </c>
      <c r="G1243" s="146" t="s">
        <v>236</v>
      </c>
    </row>
    <row r="1244" customFormat="false" ht="15.75" hidden="false" customHeight="true" outlineLevel="0" collapsed="false">
      <c r="A1244" s="144" t="s">
        <v>2140</v>
      </c>
      <c r="B1244" s="144" t="s">
        <v>2141</v>
      </c>
      <c r="C1244" s="144"/>
      <c r="D1244" s="146" t="s">
        <v>2141</v>
      </c>
      <c r="E1244" s="145" t="n">
        <v>20020</v>
      </c>
      <c r="F1244" s="145" t="n">
        <v>27300</v>
      </c>
      <c r="G1244" s="146" t="s">
        <v>236</v>
      </c>
    </row>
    <row r="1245" customFormat="false" ht="15.75" hidden="false" customHeight="true" outlineLevel="0" collapsed="false">
      <c r="A1245" s="144" t="s">
        <v>2142</v>
      </c>
      <c r="B1245" s="144" t="s">
        <v>2143</v>
      </c>
      <c r="C1245" s="144"/>
      <c r="D1245" s="146" t="s">
        <v>2143</v>
      </c>
      <c r="E1245" s="145" t="n">
        <v>3520</v>
      </c>
      <c r="F1245" s="145" t="n">
        <v>4800</v>
      </c>
      <c r="G1245" s="146" t="s">
        <v>236</v>
      </c>
    </row>
    <row r="1246" customFormat="false" ht="15.75" hidden="false" customHeight="true" outlineLevel="0" collapsed="false">
      <c r="A1246" s="144" t="s">
        <v>2144</v>
      </c>
      <c r="B1246" s="144" t="s">
        <v>2145</v>
      </c>
      <c r="C1246" s="144"/>
      <c r="D1246" s="146" t="s">
        <v>2145</v>
      </c>
      <c r="E1246" s="145" t="n">
        <v>500000</v>
      </c>
      <c r="F1246" s="145" t="n">
        <v>500000</v>
      </c>
      <c r="G1246" s="146" t="s">
        <v>236</v>
      </c>
    </row>
    <row r="1247" customFormat="false" ht="15.75" hidden="false" customHeight="true" outlineLevel="0" collapsed="false">
      <c r="A1247" s="144" t="s">
        <v>2146</v>
      </c>
      <c r="B1247" s="144"/>
      <c r="C1247" s="144" t="s">
        <v>630</v>
      </c>
      <c r="D1247" s="146" t="s">
        <v>630</v>
      </c>
      <c r="E1247" s="145" t="n">
        <v>38</v>
      </c>
      <c r="F1247" s="145" t="n">
        <v>96</v>
      </c>
      <c r="G1247" s="146" t="s">
        <v>236</v>
      </c>
    </row>
    <row r="1248" customFormat="false" ht="15.75" hidden="false" customHeight="true" outlineLevel="0" collapsed="false">
      <c r="A1248" s="144" t="s">
        <v>2147</v>
      </c>
      <c r="B1248" s="144"/>
      <c r="C1248" s="144" t="s">
        <v>714</v>
      </c>
      <c r="D1248" s="146" t="s">
        <v>714</v>
      </c>
      <c r="E1248" s="145" t="n">
        <v>5950</v>
      </c>
      <c r="F1248" s="145" t="n">
        <v>10539</v>
      </c>
      <c r="G1248" s="146" t="s">
        <v>236</v>
      </c>
    </row>
    <row r="1249" customFormat="false" ht="15.75" hidden="false" customHeight="true" outlineLevel="0" collapsed="false">
      <c r="A1249" s="144" t="s">
        <v>2148</v>
      </c>
      <c r="B1249" s="144"/>
      <c r="C1249" s="144" t="s">
        <v>630</v>
      </c>
      <c r="D1249" s="146" t="s">
        <v>630</v>
      </c>
      <c r="E1249" s="145" t="n">
        <v>38</v>
      </c>
      <c r="F1249" s="145" t="n">
        <v>96</v>
      </c>
      <c r="G1249" s="146" t="s">
        <v>236</v>
      </c>
    </row>
    <row r="1250" customFormat="false" ht="15.75" hidden="false" customHeight="true" outlineLevel="0" collapsed="false">
      <c r="A1250" s="144" t="s">
        <v>2149</v>
      </c>
      <c r="B1250" s="144"/>
      <c r="C1250" s="144" t="s">
        <v>630</v>
      </c>
      <c r="D1250" s="146" t="s">
        <v>630</v>
      </c>
      <c r="E1250" s="145" t="n">
        <v>38</v>
      </c>
      <c r="F1250" s="145" t="n">
        <v>96</v>
      </c>
      <c r="G1250" s="146" t="s">
        <v>236</v>
      </c>
    </row>
    <row r="1251" customFormat="false" ht="15.75" hidden="false" customHeight="true" outlineLevel="0" collapsed="false">
      <c r="A1251" s="144" t="s">
        <v>2150</v>
      </c>
      <c r="B1251" s="144"/>
      <c r="C1251" s="144" t="s">
        <v>630</v>
      </c>
      <c r="D1251" s="146" t="s">
        <v>630</v>
      </c>
      <c r="E1251" s="145" t="n">
        <v>38</v>
      </c>
      <c r="F1251" s="145" t="n">
        <v>96</v>
      </c>
      <c r="G1251" s="146" t="s">
        <v>236</v>
      </c>
    </row>
    <row r="1252" customFormat="false" ht="15.75" hidden="false" customHeight="true" outlineLevel="0" collapsed="false">
      <c r="A1252" s="144" t="s">
        <v>2151</v>
      </c>
      <c r="B1252" s="144"/>
      <c r="C1252" s="144" t="s">
        <v>714</v>
      </c>
      <c r="D1252" s="146" t="s">
        <v>714</v>
      </c>
      <c r="E1252" s="145" t="n">
        <v>5950</v>
      </c>
      <c r="F1252" s="145" t="n">
        <v>10539</v>
      </c>
      <c r="G1252" s="146" t="s">
        <v>236</v>
      </c>
    </row>
    <row r="1253" customFormat="false" ht="15.75" hidden="false" customHeight="true" outlineLevel="0" collapsed="false">
      <c r="A1253" s="144" t="s">
        <v>2152</v>
      </c>
      <c r="B1253" s="144"/>
      <c r="C1253" s="144" t="s">
        <v>630</v>
      </c>
      <c r="D1253" s="146" t="s">
        <v>630</v>
      </c>
      <c r="E1253" s="145" t="n">
        <v>38</v>
      </c>
      <c r="F1253" s="145" t="n">
        <v>96</v>
      </c>
      <c r="G1253" s="146" t="s">
        <v>236</v>
      </c>
    </row>
    <row r="1254" customFormat="false" ht="15.75" hidden="false" customHeight="true" outlineLevel="0" collapsed="false">
      <c r="A1254" s="144" t="s">
        <v>2153</v>
      </c>
      <c r="B1254" s="144"/>
      <c r="C1254" s="144" t="s">
        <v>630</v>
      </c>
      <c r="D1254" s="146" t="s">
        <v>630</v>
      </c>
      <c r="E1254" s="145" t="n">
        <v>38</v>
      </c>
      <c r="F1254" s="145" t="n">
        <v>96</v>
      </c>
      <c r="G1254" s="146" t="s">
        <v>236</v>
      </c>
    </row>
    <row r="1255" customFormat="false" ht="15.75" hidden="false" customHeight="true" outlineLevel="0" collapsed="false">
      <c r="A1255" s="144" t="s">
        <v>2154</v>
      </c>
      <c r="B1255" s="144"/>
      <c r="C1255" s="144" t="s">
        <v>630</v>
      </c>
      <c r="D1255" s="146" t="s">
        <v>630</v>
      </c>
      <c r="E1255" s="145" t="n">
        <v>38</v>
      </c>
      <c r="F1255" s="145" t="n">
        <v>96</v>
      </c>
      <c r="G1255" s="146" t="s">
        <v>236</v>
      </c>
    </row>
    <row r="1256" customFormat="false" ht="15.75" hidden="false" customHeight="true" outlineLevel="0" collapsed="false">
      <c r="A1256" s="144" t="s">
        <v>2155</v>
      </c>
      <c r="B1256" s="144"/>
      <c r="C1256" s="144" t="s">
        <v>630</v>
      </c>
      <c r="D1256" s="146" t="s">
        <v>630</v>
      </c>
      <c r="E1256" s="145" t="n">
        <v>38</v>
      </c>
      <c r="F1256" s="145" t="n">
        <v>96</v>
      </c>
      <c r="G1256" s="146" t="s">
        <v>236</v>
      </c>
    </row>
    <row r="1257" customFormat="false" ht="15.75" hidden="false" customHeight="true" outlineLevel="0" collapsed="false">
      <c r="A1257" s="144" t="s">
        <v>2156</v>
      </c>
      <c r="B1257" s="144"/>
      <c r="C1257" s="144" t="s">
        <v>714</v>
      </c>
      <c r="D1257" s="146" t="s">
        <v>714</v>
      </c>
      <c r="E1257" s="145" t="n">
        <v>5950</v>
      </c>
      <c r="F1257" s="145" t="n">
        <v>10539</v>
      </c>
      <c r="G1257" s="146" t="s">
        <v>236</v>
      </c>
    </row>
    <row r="1258" customFormat="false" ht="15.75" hidden="false" customHeight="true" outlineLevel="0" collapsed="false">
      <c r="A1258" s="144" t="s">
        <v>2157</v>
      </c>
      <c r="B1258" s="144" t="s">
        <v>2158</v>
      </c>
      <c r="C1258" s="144"/>
      <c r="D1258" s="146" t="s">
        <v>2158</v>
      </c>
      <c r="E1258" s="145" t="n">
        <v>27</v>
      </c>
      <c r="F1258" s="145" t="n">
        <v>419</v>
      </c>
      <c r="G1258" s="146" t="s">
        <v>236</v>
      </c>
    </row>
    <row r="1259" customFormat="false" ht="15.75" hidden="false" customHeight="true" outlineLevel="0" collapsed="false">
      <c r="A1259" s="144" t="s">
        <v>2159</v>
      </c>
      <c r="B1259" s="144"/>
      <c r="C1259" s="144" t="s">
        <v>630</v>
      </c>
      <c r="D1259" s="146" t="s">
        <v>630</v>
      </c>
      <c r="E1259" s="145" t="n">
        <v>38</v>
      </c>
      <c r="F1259" s="145" t="n">
        <v>96</v>
      </c>
      <c r="G1259" s="146" t="s">
        <v>236</v>
      </c>
    </row>
    <row r="1260" customFormat="false" ht="15.75" hidden="false" customHeight="true" outlineLevel="0" collapsed="false">
      <c r="A1260" s="144" t="s">
        <v>2160</v>
      </c>
      <c r="B1260" s="144"/>
      <c r="C1260" s="144" t="s">
        <v>714</v>
      </c>
      <c r="D1260" s="146" t="s">
        <v>714</v>
      </c>
      <c r="E1260" s="145" t="n">
        <v>5950</v>
      </c>
      <c r="F1260" s="145" t="n">
        <v>10539</v>
      </c>
      <c r="G1260" s="146" t="s">
        <v>236</v>
      </c>
    </row>
    <row r="1261" customFormat="false" ht="15.75" hidden="false" customHeight="true" outlineLevel="0" collapsed="false">
      <c r="A1261" s="144" t="s">
        <v>2161</v>
      </c>
      <c r="B1261" s="144"/>
      <c r="C1261" s="144" t="s">
        <v>630</v>
      </c>
      <c r="D1261" s="146" t="s">
        <v>630</v>
      </c>
      <c r="E1261" s="145" t="n">
        <v>38</v>
      </c>
      <c r="F1261" s="145" t="n">
        <v>96</v>
      </c>
      <c r="G1261" s="146" t="s">
        <v>236</v>
      </c>
    </row>
    <row r="1262" customFormat="false" ht="15.75" hidden="false" customHeight="true" outlineLevel="0" collapsed="false">
      <c r="A1262" s="144" t="s">
        <v>2162</v>
      </c>
      <c r="B1262" s="144"/>
      <c r="C1262" s="144" t="s">
        <v>630</v>
      </c>
      <c r="D1262" s="146" t="s">
        <v>630</v>
      </c>
      <c r="E1262" s="145" t="n">
        <v>38</v>
      </c>
      <c r="F1262" s="145" t="n">
        <v>96</v>
      </c>
      <c r="G1262" s="146" t="s">
        <v>236</v>
      </c>
    </row>
    <row r="1263" customFormat="false" ht="15.75" hidden="false" customHeight="true" outlineLevel="0" collapsed="false">
      <c r="A1263" s="144" t="s">
        <v>2163</v>
      </c>
      <c r="B1263" s="144"/>
      <c r="C1263" s="144" t="s">
        <v>714</v>
      </c>
      <c r="D1263" s="146" t="s">
        <v>714</v>
      </c>
      <c r="E1263" s="145" t="n">
        <v>5950</v>
      </c>
      <c r="F1263" s="145" t="n">
        <v>10539</v>
      </c>
      <c r="G1263" s="146" t="s">
        <v>236</v>
      </c>
    </row>
    <row r="1264" customFormat="false" ht="15.75" hidden="false" customHeight="true" outlineLevel="0" collapsed="false">
      <c r="A1264" s="144" t="s">
        <v>2164</v>
      </c>
      <c r="B1264" s="144"/>
      <c r="C1264" s="144" t="s">
        <v>630</v>
      </c>
      <c r="D1264" s="146" t="s">
        <v>630</v>
      </c>
      <c r="E1264" s="145" t="n">
        <v>38</v>
      </c>
      <c r="F1264" s="145" t="n">
        <v>96</v>
      </c>
      <c r="G1264" s="146" t="s">
        <v>236</v>
      </c>
    </row>
    <row r="1265" customFormat="false" ht="15.75" hidden="false" customHeight="true" outlineLevel="0" collapsed="false">
      <c r="A1265" s="144" t="s">
        <v>2165</v>
      </c>
      <c r="B1265" s="144"/>
      <c r="C1265" s="144" t="s">
        <v>630</v>
      </c>
      <c r="D1265" s="146" t="s">
        <v>630</v>
      </c>
      <c r="E1265" s="145" t="n">
        <v>38</v>
      </c>
      <c r="F1265" s="145" t="n">
        <v>96</v>
      </c>
      <c r="G1265" s="146" t="s">
        <v>236</v>
      </c>
    </row>
    <row r="1266" customFormat="false" ht="15.75" hidden="false" customHeight="true" outlineLevel="0" collapsed="false">
      <c r="A1266" s="144" t="s">
        <v>2166</v>
      </c>
      <c r="B1266" s="144"/>
      <c r="C1266" s="144" t="s">
        <v>714</v>
      </c>
      <c r="D1266" s="146" t="s">
        <v>714</v>
      </c>
      <c r="E1266" s="145" t="n">
        <v>5950</v>
      </c>
      <c r="F1266" s="145" t="n">
        <v>10539</v>
      </c>
      <c r="G1266" s="146" t="s">
        <v>236</v>
      </c>
    </row>
    <row r="1267" customFormat="false" ht="15.75" hidden="false" customHeight="true" outlineLevel="0" collapsed="false">
      <c r="A1267" s="144" t="s">
        <v>2167</v>
      </c>
      <c r="B1267" s="144" t="s">
        <v>2168</v>
      </c>
      <c r="C1267" s="144"/>
      <c r="D1267" s="146" t="s">
        <v>2168</v>
      </c>
      <c r="E1267" s="145" t="n">
        <v>128</v>
      </c>
      <c r="F1267" s="145" t="n">
        <v>128</v>
      </c>
      <c r="G1267" s="146" t="s">
        <v>236</v>
      </c>
    </row>
    <row r="1268" customFormat="false" ht="15.75" hidden="false" customHeight="true" outlineLevel="0" collapsed="false">
      <c r="A1268" s="144" t="s">
        <v>2169</v>
      </c>
      <c r="B1268" s="144"/>
      <c r="C1268" s="144" t="s">
        <v>630</v>
      </c>
      <c r="D1268" s="146" t="s">
        <v>630</v>
      </c>
      <c r="E1268" s="145" t="n">
        <v>38</v>
      </c>
      <c r="F1268" s="145" t="n">
        <v>96</v>
      </c>
      <c r="G1268" s="146" t="s">
        <v>236</v>
      </c>
    </row>
    <row r="1269" customFormat="false" ht="15.75" hidden="false" customHeight="true" outlineLevel="0" collapsed="false">
      <c r="A1269" s="144" t="s">
        <v>2170</v>
      </c>
      <c r="B1269" s="144"/>
      <c r="C1269" s="144" t="s">
        <v>714</v>
      </c>
      <c r="D1269" s="146" t="s">
        <v>714</v>
      </c>
      <c r="E1269" s="145" t="n">
        <v>5950</v>
      </c>
      <c r="F1269" s="145" t="n">
        <v>10539</v>
      </c>
      <c r="G1269" s="146" t="s">
        <v>236</v>
      </c>
    </row>
    <row r="1270" customFormat="false" ht="15.75" hidden="false" customHeight="true" outlineLevel="0" collapsed="false">
      <c r="A1270" s="144" t="s">
        <v>2171</v>
      </c>
      <c r="B1270" s="144"/>
      <c r="C1270" s="144" t="s">
        <v>630</v>
      </c>
      <c r="D1270" s="146" t="s">
        <v>630</v>
      </c>
      <c r="E1270" s="145" t="n">
        <v>38</v>
      </c>
      <c r="F1270" s="145" t="n">
        <v>96</v>
      </c>
      <c r="G1270" s="146" t="s">
        <v>236</v>
      </c>
    </row>
    <row r="1271" customFormat="false" ht="15.75" hidden="false" customHeight="true" outlineLevel="0" collapsed="false">
      <c r="A1271" s="144" t="s">
        <v>2172</v>
      </c>
      <c r="B1271" s="144" t="s">
        <v>2173</v>
      </c>
      <c r="C1271" s="144"/>
      <c r="D1271" s="146" t="s">
        <v>2173</v>
      </c>
      <c r="E1271" s="145" t="n">
        <v>7128</v>
      </c>
      <c r="F1271" s="145" t="n">
        <v>8036</v>
      </c>
      <c r="G1271" s="146" t="s">
        <v>236</v>
      </c>
    </row>
    <row r="1272" customFormat="false" ht="15.75" hidden="false" customHeight="true" outlineLevel="0" collapsed="false">
      <c r="A1272" s="144" t="s">
        <v>2174</v>
      </c>
      <c r="B1272" s="144"/>
      <c r="C1272" s="144" t="s">
        <v>630</v>
      </c>
      <c r="D1272" s="146" t="s">
        <v>630</v>
      </c>
      <c r="E1272" s="145" t="n">
        <v>38</v>
      </c>
      <c r="F1272" s="145" t="n">
        <v>96</v>
      </c>
      <c r="G1272" s="146" t="s">
        <v>236</v>
      </c>
    </row>
    <row r="1273" customFormat="false" ht="15.75" hidden="false" customHeight="true" outlineLevel="0" collapsed="false">
      <c r="A1273" s="144" t="s">
        <v>2175</v>
      </c>
      <c r="B1273" s="144"/>
      <c r="C1273" s="144" t="s">
        <v>714</v>
      </c>
      <c r="D1273" s="146" t="s">
        <v>714</v>
      </c>
      <c r="E1273" s="145" t="n">
        <v>5950</v>
      </c>
      <c r="F1273" s="145" t="n">
        <v>10539</v>
      </c>
      <c r="G1273" s="146" t="s">
        <v>236</v>
      </c>
    </row>
    <row r="1274" customFormat="false" ht="15.75" hidden="false" customHeight="true" outlineLevel="0" collapsed="false">
      <c r="A1274" s="144" t="s">
        <v>2176</v>
      </c>
      <c r="B1274" s="144" t="s">
        <v>2177</v>
      </c>
      <c r="C1274" s="144"/>
      <c r="D1274" s="146" t="s">
        <v>2177</v>
      </c>
      <c r="E1274" s="145" t="n">
        <v>1085</v>
      </c>
      <c r="F1274" s="145" t="n">
        <v>2328</v>
      </c>
      <c r="G1274" s="146" t="s">
        <v>236</v>
      </c>
    </row>
    <row r="1275" customFormat="false" ht="15.75" hidden="false" customHeight="true" outlineLevel="0" collapsed="false">
      <c r="A1275" s="144" t="s">
        <v>2178</v>
      </c>
      <c r="B1275" s="144"/>
      <c r="C1275" s="144" t="s">
        <v>630</v>
      </c>
      <c r="D1275" s="146" t="s">
        <v>630</v>
      </c>
      <c r="E1275" s="145" t="n">
        <v>38</v>
      </c>
      <c r="F1275" s="145" t="n">
        <v>96</v>
      </c>
      <c r="G1275" s="146" t="s">
        <v>236</v>
      </c>
    </row>
    <row r="1276" customFormat="false" ht="15.75" hidden="false" customHeight="true" outlineLevel="0" collapsed="false">
      <c r="A1276" s="144" t="s">
        <v>2179</v>
      </c>
      <c r="B1276" s="144"/>
      <c r="C1276" s="144" t="s">
        <v>630</v>
      </c>
      <c r="D1276" s="146" t="s">
        <v>630</v>
      </c>
      <c r="E1276" s="145" t="n">
        <v>38</v>
      </c>
      <c r="F1276" s="145" t="n">
        <v>96</v>
      </c>
      <c r="G1276" s="146" t="s">
        <v>236</v>
      </c>
    </row>
    <row r="1277" customFormat="false" ht="15.75" hidden="false" customHeight="true" outlineLevel="0" collapsed="false">
      <c r="A1277" s="144" t="s">
        <v>2180</v>
      </c>
      <c r="B1277" s="144"/>
      <c r="C1277" s="144" t="s">
        <v>630</v>
      </c>
      <c r="D1277" s="146" t="s">
        <v>630</v>
      </c>
      <c r="E1277" s="145" t="n">
        <v>38</v>
      </c>
      <c r="F1277" s="145" t="n">
        <v>96</v>
      </c>
      <c r="G1277" s="146" t="s">
        <v>236</v>
      </c>
    </row>
    <row r="1278" customFormat="false" ht="15.75" hidden="false" customHeight="true" outlineLevel="0" collapsed="false">
      <c r="A1278" s="144" t="s">
        <v>2181</v>
      </c>
      <c r="B1278" s="144"/>
      <c r="C1278" s="144" t="s">
        <v>630</v>
      </c>
      <c r="D1278" s="146" t="s">
        <v>630</v>
      </c>
      <c r="E1278" s="145" t="n">
        <v>38</v>
      </c>
      <c r="F1278" s="145" t="n">
        <v>96</v>
      </c>
      <c r="G1278" s="146" t="s">
        <v>236</v>
      </c>
    </row>
    <row r="1279" customFormat="false" ht="15.75" hidden="false" customHeight="true" outlineLevel="0" collapsed="false">
      <c r="A1279" s="144" t="s">
        <v>2182</v>
      </c>
      <c r="B1279" s="144"/>
      <c r="C1279" s="144" t="s">
        <v>630</v>
      </c>
      <c r="D1279" s="146" t="s">
        <v>630</v>
      </c>
      <c r="E1279" s="145" t="n">
        <v>38</v>
      </c>
      <c r="F1279" s="145" t="n">
        <v>96</v>
      </c>
      <c r="G1279" s="146" t="s">
        <v>236</v>
      </c>
    </row>
    <row r="1280" customFormat="false" ht="15.75" hidden="false" customHeight="true" outlineLevel="0" collapsed="false">
      <c r="A1280" s="144" t="s">
        <v>2183</v>
      </c>
      <c r="B1280" s="144"/>
      <c r="C1280" s="144" t="s">
        <v>630</v>
      </c>
      <c r="D1280" s="146" t="s">
        <v>630</v>
      </c>
      <c r="E1280" s="145" t="n">
        <v>38</v>
      </c>
      <c r="F1280" s="145" t="n">
        <v>96</v>
      </c>
      <c r="G1280" s="146" t="s">
        <v>236</v>
      </c>
    </row>
    <row r="1281" customFormat="false" ht="15.75" hidden="false" customHeight="true" outlineLevel="0" collapsed="false">
      <c r="A1281" s="144" t="s">
        <v>2184</v>
      </c>
      <c r="B1281" s="144"/>
      <c r="C1281" s="144" t="s">
        <v>714</v>
      </c>
      <c r="D1281" s="146" t="s">
        <v>714</v>
      </c>
      <c r="E1281" s="145" t="n">
        <v>5950</v>
      </c>
      <c r="F1281" s="145" t="n">
        <v>10539</v>
      </c>
      <c r="G1281" s="146" t="s">
        <v>236</v>
      </c>
    </row>
    <row r="1282" customFormat="false" ht="15.75" hidden="false" customHeight="true" outlineLevel="0" collapsed="false">
      <c r="A1282" s="144" t="s">
        <v>2185</v>
      </c>
      <c r="B1282" s="144"/>
      <c r="C1282" s="144" t="s">
        <v>630</v>
      </c>
      <c r="D1282" s="146" t="s">
        <v>630</v>
      </c>
      <c r="E1282" s="145" t="n">
        <v>38</v>
      </c>
      <c r="F1282" s="145" t="n">
        <v>96</v>
      </c>
      <c r="G1282" s="146" t="s">
        <v>236</v>
      </c>
    </row>
    <row r="1283" customFormat="false" ht="15.75" hidden="false" customHeight="true" outlineLevel="0" collapsed="false">
      <c r="A1283" s="144" t="s">
        <v>2186</v>
      </c>
      <c r="B1283" s="144"/>
      <c r="C1283" s="144" t="s">
        <v>630</v>
      </c>
      <c r="D1283" s="146" t="s">
        <v>630</v>
      </c>
      <c r="E1283" s="145" t="n">
        <v>38</v>
      </c>
      <c r="F1283" s="145" t="n">
        <v>96</v>
      </c>
      <c r="G1283" s="146" t="s">
        <v>236</v>
      </c>
    </row>
    <row r="1284" customFormat="false" ht="15.75" hidden="false" customHeight="true" outlineLevel="0" collapsed="false">
      <c r="A1284" s="144" t="s">
        <v>2187</v>
      </c>
      <c r="B1284" s="144" t="s">
        <v>2188</v>
      </c>
      <c r="C1284" s="144"/>
      <c r="D1284" s="146" t="s">
        <v>2188</v>
      </c>
      <c r="E1284" s="145" t="n">
        <v>13</v>
      </c>
      <c r="F1284" s="145" t="n">
        <v>25</v>
      </c>
      <c r="G1284" s="146" t="s">
        <v>236</v>
      </c>
    </row>
    <row r="1285" customFormat="false" ht="15.75" hidden="false" customHeight="true" outlineLevel="0" collapsed="false">
      <c r="A1285" s="144" t="s">
        <v>2189</v>
      </c>
      <c r="B1285" s="144"/>
      <c r="C1285" s="144" t="s">
        <v>630</v>
      </c>
      <c r="D1285" s="146" t="s">
        <v>630</v>
      </c>
      <c r="E1285" s="145" t="n">
        <v>38</v>
      </c>
      <c r="F1285" s="145" t="n">
        <v>96</v>
      </c>
      <c r="G1285" s="146" t="s">
        <v>236</v>
      </c>
    </row>
    <row r="1286" customFormat="false" ht="15.75" hidden="false" customHeight="true" outlineLevel="0" collapsed="false">
      <c r="A1286" s="144" t="s">
        <v>2190</v>
      </c>
      <c r="B1286" s="144"/>
      <c r="C1286" s="144" t="s">
        <v>714</v>
      </c>
      <c r="D1286" s="146" t="s">
        <v>714</v>
      </c>
      <c r="E1286" s="145" t="n">
        <v>5950</v>
      </c>
      <c r="F1286" s="145" t="n">
        <v>10539</v>
      </c>
      <c r="G1286" s="146" t="s">
        <v>236</v>
      </c>
    </row>
    <row r="1287" customFormat="false" ht="15.75" hidden="false" customHeight="true" outlineLevel="0" collapsed="false">
      <c r="A1287" s="144" t="s">
        <v>2191</v>
      </c>
      <c r="B1287" s="144"/>
      <c r="C1287" s="144" t="s">
        <v>630</v>
      </c>
      <c r="D1287" s="146" t="s">
        <v>630</v>
      </c>
      <c r="E1287" s="145" t="n">
        <v>38</v>
      </c>
      <c r="F1287" s="145" t="n">
        <v>96</v>
      </c>
      <c r="G1287" s="146" t="s">
        <v>236</v>
      </c>
    </row>
    <row r="1288" customFormat="false" ht="15.75" hidden="false" customHeight="true" outlineLevel="0" collapsed="false">
      <c r="A1288" s="144" t="s">
        <v>2192</v>
      </c>
      <c r="B1288" s="144"/>
      <c r="C1288" s="144" t="s">
        <v>630</v>
      </c>
      <c r="D1288" s="146" t="s">
        <v>630</v>
      </c>
      <c r="E1288" s="145" t="n">
        <v>38</v>
      </c>
      <c r="F1288" s="145" t="n">
        <v>96</v>
      </c>
      <c r="G1288" s="146" t="s">
        <v>236</v>
      </c>
    </row>
    <row r="1289" customFormat="false" ht="15.75" hidden="false" customHeight="true" outlineLevel="0" collapsed="false">
      <c r="A1289" s="144" t="s">
        <v>2193</v>
      </c>
      <c r="B1289" s="144"/>
      <c r="C1289" s="144" t="s">
        <v>630</v>
      </c>
      <c r="D1289" s="146" t="s">
        <v>630</v>
      </c>
      <c r="E1289" s="145" t="n">
        <v>38</v>
      </c>
      <c r="F1289" s="145" t="n">
        <v>96</v>
      </c>
      <c r="G1289" s="146" t="s">
        <v>236</v>
      </c>
    </row>
    <row r="1290" customFormat="false" ht="15.75" hidden="false" customHeight="true" outlineLevel="0" collapsed="false">
      <c r="A1290" s="144" t="s">
        <v>2194</v>
      </c>
      <c r="B1290" s="144" t="s">
        <v>719</v>
      </c>
      <c r="C1290" s="144"/>
      <c r="D1290" s="146" t="s">
        <v>719</v>
      </c>
      <c r="E1290" s="145" t="n">
        <v>2000</v>
      </c>
      <c r="F1290" s="145" t="n">
        <v>2000</v>
      </c>
      <c r="G1290" s="146" t="s">
        <v>236</v>
      </c>
    </row>
    <row r="1291" customFormat="false" ht="15.75" hidden="false" customHeight="true" outlineLevel="0" collapsed="false">
      <c r="A1291" s="144" t="s">
        <v>2195</v>
      </c>
      <c r="B1291" s="144"/>
      <c r="C1291" s="144" t="s">
        <v>714</v>
      </c>
      <c r="D1291" s="146" t="s">
        <v>714</v>
      </c>
      <c r="E1291" s="145" t="n">
        <v>5950</v>
      </c>
      <c r="F1291" s="145" t="n">
        <v>10539</v>
      </c>
      <c r="G1291" s="146" t="s">
        <v>236</v>
      </c>
    </row>
    <row r="1292" customFormat="false" ht="15.75" hidden="false" customHeight="true" outlineLevel="0" collapsed="false">
      <c r="A1292" s="144" t="s">
        <v>2196</v>
      </c>
      <c r="B1292" s="144"/>
      <c r="C1292" s="144" t="s">
        <v>714</v>
      </c>
      <c r="D1292" s="146" t="s">
        <v>714</v>
      </c>
      <c r="E1292" s="145" t="n">
        <v>5950</v>
      </c>
      <c r="F1292" s="145" t="n">
        <v>10539</v>
      </c>
      <c r="G1292" s="146" t="s">
        <v>236</v>
      </c>
    </row>
    <row r="1293" customFormat="false" ht="15.75" hidden="false" customHeight="true" outlineLevel="0" collapsed="false">
      <c r="A1293" s="144" t="s">
        <v>2197</v>
      </c>
      <c r="B1293" s="144"/>
      <c r="C1293" s="144" t="s">
        <v>630</v>
      </c>
      <c r="D1293" s="146" t="s">
        <v>630</v>
      </c>
      <c r="E1293" s="145" t="n">
        <v>38</v>
      </c>
      <c r="F1293" s="145" t="n">
        <v>96</v>
      </c>
      <c r="G1293" s="146" t="s">
        <v>236</v>
      </c>
    </row>
    <row r="1294" customFormat="false" ht="15.75" hidden="false" customHeight="true" outlineLevel="0" collapsed="false">
      <c r="A1294" s="144" t="s">
        <v>2198</v>
      </c>
      <c r="B1294" s="144"/>
      <c r="C1294" s="144" t="s">
        <v>630</v>
      </c>
      <c r="D1294" s="146" t="s">
        <v>630</v>
      </c>
      <c r="E1294" s="145" t="n">
        <v>38</v>
      </c>
      <c r="F1294" s="145" t="n">
        <v>96</v>
      </c>
      <c r="G1294" s="146" t="s">
        <v>236</v>
      </c>
    </row>
    <row r="1295" customFormat="false" ht="15.75" hidden="false" customHeight="true" outlineLevel="0" collapsed="false">
      <c r="A1295" s="144" t="s">
        <v>2199</v>
      </c>
      <c r="B1295" s="144" t="s">
        <v>2200</v>
      </c>
      <c r="C1295" s="144"/>
      <c r="D1295" s="146" t="s">
        <v>2200</v>
      </c>
      <c r="E1295" s="145" t="n">
        <v>2119</v>
      </c>
      <c r="F1295" s="145" t="n">
        <v>2889</v>
      </c>
      <c r="G1295" s="146" t="s">
        <v>236</v>
      </c>
    </row>
    <row r="1296" customFormat="false" ht="15.75" hidden="false" customHeight="true" outlineLevel="0" collapsed="false">
      <c r="A1296" s="144" t="s">
        <v>2201</v>
      </c>
      <c r="B1296" s="144"/>
      <c r="C1296" s="144" t="s">
        <v>630</v>
      </c>
      <c r="D1296" s="146" t="s">
        <v>630</v>
      </c>
      <c r="E1296" s="145" t="n">
        <v>38</v>
      </c>
      <c r="F1296" s="145" t="n">
        <v>96</v>
      </c>
      <c r="G1296" s="146" t="s">
        <v>236</v>
      </c>
    </row>
    <row r="1297" customFormat="false" ht="15.75" hidden="false" customHeight="true" outlineLevel="0" collapsed="false">
      <c r="A1297" s="144" t="s">
        <v>2202</v>
      </c>
      <c r="B1297" s="144"/>
      <c r="C1297" s="144" t="s">
        <v>630</v>
      </c>
      <c r="D1297" s="146" t="s">
        <v>630</v>
      </c>
      <c r="E1297" s="145" t="n">
        <v>38</v>
      </c>
      <c r="F1297" s="145" t="n">
        <v>96</v>
      </c>
      <c r="G1297" s="146" t="s">
        <v>236</v>
      </c>
    </row>
    <row r="1298" customFormat="false" ht="15.75" hidden="false" customHeight="true" outlineLevel="0" collapsed="false">
      <c r="A1298" s="144" t="s">
        <v>2203</v>
      </c>
      <c r="B1298" s="144" t="s">
        <v>2204</v>
      </c>
      <c r="C1298" s="144"/>
      <c r="D1298" s="146" t="s">
        <v>2204</v>
      </c>
      <c r="E1298" s="145" t="n">
        <v>22613</v>
      </c>
      <c r="F1298" s="145" t="n">
        <v>22613</v>
      </c>
      <c r="G1298" s="146" t="s">
        <v>236</v>
      </c>
    </row>
    <row r="1299" customFormat="false" ht="15.75" hidden="false" customHeight="true" outlineLevel="0" collapsed="false">
      <c r="A1299" s="144" t="s">
        <v>2205</v>
      </c>
      <c r="B1299" s="144"/>
      <c r="C1299" s="144" t="s">
        <v>630</v>
      </c>
      <c r="D1299" s="146" t="s">
        <v>630</v>
      </c>
      <c r="E1299" s="145" t="n">
        <v>38</v>
      </c>
      <c r="F1299" s="145" t="n">
        <v>96</v>
      </c>
      <c r="G1299" s="146" t="s">
        <v>236</v>
      </c>
    </row>
    <row r="1300" customFormat="false" ht="15.75" hidden="false" customHeight="true" outlineLevel="0" collapsed="false">
      <c r="A1300" s="144" t="s">
        <v>2206</v>
      </c>
      <c r="B1300" s="144" t="s">
        <v>2207</v>
      </c>
      <c r="C1300" s="144"/>
      <c r="D1300" s="146" t="s">
        <v>2207</v>
      </c>
      <c r="E1300" s="145" t="n">
        <v>8953</v>
      </c>
      <c r="F1300" s="145" t="n">
        <v>8953</v>
      </c>
      <c r="G1300" s="146" t="s">
        <v>236</v>
      </c>
    </row>
    <row r="1301" customFormat="false" ht="15.75" hidden="false" customHeight="true" outlineLevel="0" collapsed="false">
      <c r="A1301" s="144" t="s">
        <v>2208</v>
      </c>
      <c r="B1301" s="144"/>
      <c r="C1301" s="144" t="s">
        <v>630</v>
      </c>
      <c r="D1301" s="146" t="s">
        <v>630</v>
      </c>
      <c r="E1301" s="145" t="n">
        <v>38</v>
      </c>
      <c r="F1301" s="145" t="n">
        <v>96</v>
      </c>
      <c r="G1301" s="146" t="s">
        <v>236</v>
      </c>
    </row>
    <row r="1302" customFormat="false" ht="15.75" hidden="false" customHeight="true" outlineLevel="0" collapsed="false">
      <c r="A1302" s="144" t="s">
        <v>2209</v>
      </c>
      <c r="B1302" s="144"/>
      <c r="C1302" s="144" t="s">
        <v>714</v>
      </c>
      <c r="D1302" s="146" t="s">
        <v>714</v>
      </c>
      <c r="E1302" s="145" t="n">
        <v>5950</v>
      </c>
      <c r="F1302" s="145" t="n">
        <v>10539</v>
      </c>
      <c r="G1302" s="146" t="s">
        <v>236</v>
      </c>
    </row>
    <row r="1303" customFormat="false" ht="15.75" hidden="false" customHeight="true" outlineLevel="0" collapsed="false">
      <c r="A1303" s="144" t="s">
        <v>2210</v>
      </c>
      <c r="B1303" s="144"/>
      <c r="C1303" s="144" t="s">
        <v>630</v>
      </c>
      <c r="D1303" s="146" t="s">
        <v>630</v>
      </c>
      <c r="E1303" s="145" t="n">
        <v>38</v>
      </c>
      <c r="F1303" s="145" t="n">
        <v>96</v>
      </c>
      <c r="G1303" s="146" t="s">
        <v>236</v>
      </c>
    </row>
    <row r="1304" customFormat="false" ht="15.75" hidden="false" customHeight="true" outlineLevel="0" collapsed="false">
      <c r="A1304" s="144" t="s">
        <v>2211</v>
      </c>
      <c r="B1304" s="144"/>
      <c r="C1304" s="144" t="s">
        <v>630</v>
      </c>
      <c r="D1304" s="146" t="s">
        <v>630</v>
      </c>
      <c r="E1304" s="145" t="n">
        <v>38</v>
      </c>
      <c r="F1304" s="145" t="n">
        <v>96</v>
      </c>
      <c r="G1304" s="146" t="s">
        <v>236</v>
      </c>
    </row>
    <row r="1305" customFormat="false" ht="15.75" hidden="false" customHeight="true" outlineLevel="0" collapsed="false">
      <c r="A1305" s="144" t="s">
        <v>2212</v>
      </c>
      <c r="B1305" s="144"/>
      <c r="C1305" s="144" t="s">
        <v>630</v>
      </c>
      <c r="D1305" s="146" t="s">
        <v>630</v>
      </c>
      <c r="E1305" s="145" t="n">
        <v>38</v>
      </c>
      <c r="F1305" s="145" t="n">
        <v>96</v>
      </c>
      <c r="G1305" s="146" t="s">
        <v>236</v>
      </c>
    </row>
    <row r="1306" customFormat="false" ht="15.75" hidden="false" customHeight="true" outlineLevel="0" collapsed="false">
      <c r="A1306" s="144" t="s">
        <v>2213</v>
      </c>
      <c r="B1306" s="144"/>
      <c r="C1306" s="144" t="s">
        <v>630</v>
      </c>
      <c r="D1306" s="146" t="s">
        <v>630</v>
      </c>
      <c r="E1306" s="145" t="n">
        <v>38</v>
      </c>
      <c r="F1306" s="145" t="n">
        <v>96</v>
      </c>
      <c r="G1306" s="146" t="s">
        <v>236</v>
      </c>
    </row>
    <row r="1307" customFormat="false" ht="15.75" hidden="false" customHeight="true" outlineLevel="0" collapsed="false">
      <c r="A1307" s="144" t="s">
        <v>2214</v>
      </c>
      <c r="B1307" s="144" t="s">
        <v>2215</v>
      </c>
      <c r="C1307" s="144"/>
      <c r="D1307" s="146" t="s">
        <v>2215</v>
      </c>
      <c r="E1307" s="145" t="n">
        <v>680000</v>
      </c>
      <c r="F1307" s="145" t="n">
        <v>680000</v>
      </c>
      <c r="G1307" s="146" t="s">
        <v>236</v>
      </c>
    </row>
    <row r="1308" customFormat="false" ht="15.75" hidden="false" customHeight="true" outlineLevel="0" collapsed="false">
      <c r="A1308" s="144" t="s">
        <v>2216</v>
      </c>
      <c r="B1308" s="144"/>
      <c r="C1308" s="144" t="s">
        <v>714</v>
      </c>
      <c r="D1308" s="146" t="s">
        <v>714</v>
      </c>
      <c r="E1308" s="145" t="n">
        <v>5950</v>
      </c>
      <c r="F1308" s="145" t="n">
        <v>10539</v>
      </c>
      <c r="G1308" s="146" t="s">
        <v>236</v>
      </c>
    </row>
    <row r="1309" customFormat="false" ht="15.75" hidden="false" customHeight="true" outlineLevel="0" collapsed="false">
      <c r="A1309" s="144" t="s">
        <v>2217</v>
      </c>
      <c r="B1309" s="144"/>
      <c r="C1309" s="144" t="s">
        <v>630</v>
      </c>
      <c r="D1309" s="146" t="s">
        <v>630</v>
      </c>
      <c r="E1309" s="145" t="n">
        <v>38</v>
      </c>
      <c r="F1309" s="145" t="n">
        <v>96</v>
      </c>
      <c r="G1309" s="146" t="s">
        <v>236</v>
      </c>
    </row>
    <row r="1310" customFormat="false" ht="15.75" hidden="false" customHeight="true" outlineLevel="0" collapsed="false">
      <c r="A1310" s="144" t="s">
        <v>2218</v>
      </c>
      <c r="B1310" s="144"/>
      <c r="C1310" s="144" t="s">
        <v>630</v>
      </c>
      <c r="D1310" s="146" t="s">
        <v>630</v>
      </c>
      <c r="E1310" s="145" t="n">
        <v>38</v>
      </c>
      <c r="F1310" s="145" t="n">
        <v>96</v>
      </c>
      <c r="G1310" s="146" t="s">
        <v>236</v>
      </c>
    </row>
    <row r="1311" customFormat="false" ht="15.75" hidden="false" customHeight="true" outlineLevel="0" collapsed="false">
      <c r="A1311" s="144" t="s">
        <v>2219</v>
      </c>
      <c r="B1311" s="144"/>
      <c r="C1311" s="144" t="s">
        <v>630</v>
      </c>
      <c r="D1311" s="146" t="s">
        <v>630</v>
      </c>
      <c r="E1311" s="145" t="n">
        <v>38</v>
      </c>
      <c r="F1311" s="145" t="n">
        <v>96</v>
      </c>
      <c r="G1311" s="146" t="s">
        <v>236</v>
      </c>
    </row>
    <row r="1312" customFormat="false" ht="15.75" hidden="false" customHeight="true" outlineLevel="0" collapsed="false">
      <c r="A1312" s="144" t="s">
        <v>2220</v>
      </c>
      <c r="B1312" s="144" t="s">
        <v>2221</v>
      </c>
      <c r="C1312" s="144"/>
      <c r="D1312" s="146" t="s">
        <v>2221</v>
      </c>
      <c r="E1312" s="145" t="n">
        <v>5</v>
      </c>
      <c r="F1312" s="145" t="n">
        <v>62</v>
      </c>
      <c r="G1312" s="146" t="s">
        <v>236</v>
      </c>
    </row>
    <row r="1313" customFormat="false" ht="15.75" hidden="false" customHeight="true" outlineLevel="0" collapsed="false">
      <c r="A1313" s="144" t="s">
        <v>2222</v>
      </c>
      <c r="B1313" s="144" t="s">
        <v>2223</v>
      </c>
      <c r="C1313" s="144"/>
      <c r="D1313" s="146" t="s">
        <v>2223</v>
      </c>
      <c r="E1313" s="145" t="n">
        <v>108</v>
      </c>
      <c r="F1313" s="145" t="n">
        <v>258</v>
      </c>
      <c r="G1313" s="146" t="s">
        <v>236</v>
      </c>
    </row>
    <row r="1314" customFormat="false" ht="15.75" hidden="false" customHeight="true" outlineLevel="0" collapsed="false">
      <c r="A1314" s="144" t="s">
        <v>2224</v>
      </c>
      <c r="B1314" s="144"/>
      <c r="C1314" s="144" t="s">
        <v>630</v>
      </c>
      <c r="D1314" s="146" t="s">
        <v>630</v>
      </c>
      <c r="E1314" s="145" t="n">
        <v>38</v>
      </c>
      <c r="F1314" s="145" t="n">
        <v>96</v>
      </c>
      <c r="G1314" s="146" t="s">
        <v>236</v>
      </c>
    </row>
    <row r="1315" customFormat="false" ht="15.75" hidden="false" customHeight="true" outlineLevel="0" collapsed="false">
      <c r="A1315" s="144" t="s">
        <v>2225</v>
      </c>
      <c r="B1315" s="144"/>
      <c r="C1315" s="144" t="s">
        <v>630</v>
      </c>
      <c r="D1315" s="146" t="s">
        <v>630</v>
      </c>
      <c r="E1315" s="145" t="n">
        <v>38</v>
      </c>
      <c r="F1315" s="145" t="n">
        <v>96</v>
      </c>
      <c r="G1315" s="146" t="s">
        <v>236</v>
      </c>
    </row>
    <row r="1316" customFormat="false" ht="15.75" hidden="false" customHeight="true" outlineLevel="0" collapsed="false">
      <c r="A1316" s="144" t="s">
        <v>2226</v>
      </c>
      <c r="B1316" s="144"/>
      <c r="C1316" s="144" t="s">
        <v>630</v>
      </c>
      <c r="D1316" s="146" t="s">
        <v>630</v>
      </c>
      <c r="E1316" s="145" t="n">
        <v>38</v>
      </c>
      <c r="F1316" s="145" t="n">
        <v>96</v>
      </c>
      <c r="G1316" s="146" t="s">
        <v>236</v>
      </c>
    </row>
    <row r="1317" customFormat="false" ht="15.75" hidden="false" customHeight="true" outlineLevel="0" collapsed="false">
      <c r="A1317" s="144" t="s">
        <v>2227</v>
      </c>
      <c r="B1317" s="144"/>
      <c r="C1317" s="144" t="s">
        <v>714</v>
      </c>
      <c r="D1317" s="146" t="s">
        <v>714</v>
      </c>
      <c r="E1317" s="145" t="n">
        <v>5950</v>
      </c>
      <c r="F1317" s="145" t="n">
        <v>10539</v>
      </c>
      <c r="G1317" s="146" t="s">
        <v>236</v>
      </c>
    </row>
    <row r="1318" customFormat="false" ht="15.75" hidden="false" customHeight="true" outlineLevel="0" collapsed="false">
      <c r="A1318" s="144" t="s">
        <v>2228</v>
      </c>
      <c r="B1318" s="144"/>
      <c r="C1318" s="144" t="s">
        <v>630</v>
      </c>
      <c r="D1318" s="146" t="s">
        <v>630</v>
      </c>
      <c r="E1318" s="145" t="n">
        <v>38</v>
      </c>
      <c r="F1318" s="145" t="n">
        <v>96</v>
      </c>
      <c r="G1318" s="146" t="s">
        <v>236</v>
      </c>
    </row>
    <row r="1319" customFormat="false" ht="15.75" hidden="false" customHeight="true" outlineLevel="0" collapsed="false">
      <c r="A1319" s="144" t="s">
        <v>2229</v>
      </c>
      <c r="B1319" s="144" t="s">
        <v>2230</v>
      </c>
      <c r="C1319" s="144"/>
      <c r="D1319" s="146" t="s">
        <v>2230</v>
      </c>
      <c r="E1319" s="145" t="n">
        <v>35000</v>
      </c>
      <c r="F1319" s="145" t="n">
        <v>100000</v>
      </c>
      <c r="G1319" s="146" t="s">
        <v>236</v>
      </c>
    </row>
    <row r="1320" customFormat="false" ht="15.75" hidden="false" customHeight="true" outlineLevel="0" collapsed="false">
      <c r="A1320" s="144" t="s">
        <v>2231</v>
      </c>
      <c r="B1320" s="144"/>
      <c r="C1320" s="144" t="s">
        <v>630</v>
      </c>
      <c r="D1320" s="146" t="s">
        <v>630</v>
      </c>
      <c r="E1320" s="145" t="n">
        <v>38</v>
      </c>
      <c r="F1320" s="145" t="n">
        <v>96</v>
      </c>
      <c r="G1320" s="146" t="s">
        <v>236</v>
      </c>
    </row>
    <row r="1321" customFormat="false" ht="15.75" hidden="false" customHeight="true" outlineLevel="0" collapsed="false">
      <c r="A1321" s="144" t="s">
        <v>2232</v>
      </c>
      <c r="B1321" s="144"/>
      <c r="C1321" s="144" t="s">
        <v>630</v>
      </c>
      <c r="D1321" s="146" t="s">
        <v>630</v>
      </c>
      <c r="E1321" s="145" t="n">
        <v>38</v>
      </c>
      <c r="F1321" s="145" t="n">
        <v>96</v>
      </c>
      <c r="G1321" s="146" t="s">
        <v>236</v>
      </c>
    </row>
    <row r="1322" customFormat="false" ht="15.75" hidden="false" customHeight="true" outlineLevel="0" collapsed="false">
      <c r="A1322" s="144" t="s">
        <v>2233</v>
      </c>
      <c r="B1322" s="144"/>
      <c r="C1322" s="144" t="s">
        <v>714</v>
      </c>
      <c r="D1322" s="146" t="s">
        <v>714</v>
      </c>
      <c r="E1322" s="145" t="n">
        <v>5950</v>
      </c>
      <c r="F1322" s="145" t="n">
        <v>10539</v>
      </c>
      <c r="G1322" s="146" t="s">
        <v>236</v>
      </c>
    </row>
    <row r="1323" customFormat="false" ht="15.75" hidden="false" customHeight="true" outlineLevel="0" collapsed="false">
      <c r="A1323" s="144" t="s">
        <v>2234</v>
      </c>
      <c r="B1323" s="144"/>
      <c r="C1323" s="144" t="s">
        <v>714</v>
      </c>
      <c r="D1323" s="146" t="s">
        <v>714</v>
      </c>
      <c r="E1323" s="145" t="n">
        <v>5950</v>
      </c>
      <c r="F1323" s="145" t="n">
        <v>10539</v>
      </c>
      <c r="G1323" s="146" t="s">
        <v>236</v>
      </c>
    </row>
    <row r="1324" customFormat="false" ht="15.75" hidden="false" customHeight="true" outlineLevel="0" collapsed="false">
      <c r="A1324" s="144" t="s">
        <v>2235</v>
      </c>
      <c r="B1324" s="144" t="s">
        <v>2236</v>
      </c>
      <c r="C1324" s="144"/>
      <c r="D1324" s="146" t="s">
        <v>2236</v>
      </c>
      <c r="E1324" s="145" t="n">
        <v>6810</v>
      </c>
      <c r="F1324" s="145" t="n">
        <v>6810</v>
      </c>
      <c r="G1324" s="146" t="s">
        <v>236</v>
      </c>
    </row>
    <row r="1325" customFormat="false" ht="15.75" hidden="false" customHeight="true" outlineLevel="0" collapsed="false">
      <c r="A1325" s="144" t="s">
        <v>2237</v>
      </c>
      <c r="B1325" s="144"/>
      <c r="C1325" s="144" t="s">
        <v>630</v>
      </c>
      <c r="D1325" s="146" t="s">
        <v>630</v>
      </c>
      <c r="E1325" s="145" t="n">
        <v>38</v>
      </c>
      <c r="F1325" s="145" t="n">
        <v>96</v>
      </c>
      <c r="G1325" s="146" t="s">
        <v>236</v>
      </c>
    </row>
    <row r="1326" customFormat="false" ht="15.75" hidden="false" customHeight="true" outlineLevel="0" collapsed="false">
      <c r="A1326" s="144" t="s">
        <v>2238</v>
      </c>
      <c r="B1326" s="144"/>
      <c r="C1326" s="144" t="s">
        <v>630</v>
      </c>
      <c r="D1326" s="146" t="s">
        <v>630</v>
      </c>
      <c r="E1326" s="145" t="n">
        <v>38</v>
      </c>
      <c r="F1326" s="145" t="n">
        <v>96</v>
      </c>
      <c r="G1326" s="146" t="s">
        <v>236</v>
      </c>
    </row>
    <row r="1327" customFormat="false" ht="15.75" hidden="false" customHeight="true" outlineLevel="0" collapsed="false">
      <c r="A1327" s="144" t="s">
        <v>2239</v>
      </c>
      <c r="B1327" s="144"/>
      <c r="C1327" s="144" t="s">
        <v>714</v>
      </c>
      <c r="D1327" s="146" t="s">
        <v>714</v>
      </c>
      <c r="E1327" s="145" t="n">
        <v>5950</v>
      </c>
      <c r="F1327" s="145" t="n">
        <v>10539</v>
      </c>
      <c r="G1327" s="146" t="s">
        <v>236</v>
      </c>
    </row>
    <row r="1328" customFormat="false" ht="15.75" hidden="false" customHeight="true" outlineLevel="0" collapsed="false">
      <c r="A1328" s="144" t="s">
        <v>2240</v>
      </c>
      <c r="B1328" s="144"/>
      <c r="C1328" s="144" t="s">
        <v>630</v>
      </c>
      <c r="D1328" s="146" t="s">
        <v>630</v>
      </c>
      <c r="E1328" s="145" t="n">
        <v>38</v>
      </c>
      <c r="F1328" s="145" t="n">
        <v>96</v>
      </c>
      <c r="G1328" s="146" t="s">
        <v>236</v>
      </c>
    </row>
    <row r="1329" customFormat="false" ht="15.75" hidden="false" customHeight="true" outlineLevel="0" collapsed="false">
      <c r="A1329" s="144" t="s">
        <v>2241</v>
      </c>
      <c r="B1329" s="144"/>
      <c r="C1329" s="144" t="s">
        <v>630</v>
      </c>
      <c r="D1329" s="146" t="s">
        <v>630</v>
      </c>
      <c r="E1329" s="145" t="n">
        <v>38</v>
      </c>
      <c r="F1329" s="145" t="n">
        <v>96</v>
      </c>
      <c r="G1329" s="146" t="s">
        <v>236</v>
      </c>
    </row>
    <row r="1330" customFormat="false" ht="15.75" hidden="false" customHeight="true" outlineLevel="0" collapsed="false">
      <c r="A1330" s="144" t="s">
        <v>2242</v>
      </c>
      <c r="B1330" s="144"/>
      <c r="C1330" s="144" t="s">
        <v>714</v>
      </c>
      <c r="D1330" s="146" t="s">
        <v>714</v>
      </c>
      <c r="E1330" s="145" t="n">
        <v>5950</v>
      </c>
      <c r="F1330" s="145" t="n">
        <v>10539</v>
      </c>
      <c r="G1330" s="146" t="s">
        <v>236</v>
      </c>
    </row>
    <row r="1331" customFormat="false" ht="15.75" hidden="false" customHeight="true" outlineLevel="0" collapsed="false">
      <c r="A1331" s="144" t="s">
        <v>2243</v>
      </c>
      <c r="B1331" s="144"/>
      <c r="C1331" s="144" t="s">
        <v>630</v>
      </c>
      <c r="D1331" s="146" t="s">
        <v>630</v>
      </c>
      <c r="E1331" s="145" t="n">
        <v>38</v>
      </c>
      <c r="F1331" s="145" t="n">
        <v>96</v>
      </c>
      <c r="G1331" s="146" t="s">
        <v>236</v>
      </c>
    </row>
    <row r="1332" customFormat="false" ht="15.75" hidden="false" customHeight="true" outlineLevel="0" collapsed="false">
      <c r="A1332" s="144" t="s">
        <v>2244</v>
      </c>
      <c r="B1332" s="144"/>
      <c r="C1332" s="144" t="s">
        <v>714</v>
      </c>
      <c r="D1332" s="146" t="s">
        <v>714</v>
      </c>
      <c r="E1332" s="145" t="n">
        <v>5950</v>
      </c>
      <c r="F1332" s="145" t="n">
        <v>10539</v>
      </c>
      <c r="G1332" s="146" t="s">
        <v>236</v>
      </c>
    </row>
    <row r="1333" customFormat="false" ht="15.75" hidden="false" customHeight="true" outlineLevel="0" collapsed="false">
      <c r="A1333" s="144" t="s">
        <v>2245</v>
      </c>
      <c r="B1333" s="144"/>
      <c r="C1333" s="144" t="s">
        <v>630</v>
      </c>
      <c r="D1333" s="146" t="s">
        <v>630</v>
      </c>
      <c r="E1333" s="145" t="n">
        <v>38</v>
      </c>
      <c r="F1333" s="145" t="n">
        <v>96</v>
      </c>
      <c r="G1333" s="146" t="s">
        <v>236</v>
      </c>
    </row>
    <row r="1334" customFormat="false" ht="15.75" hidden="false" customHeight="true" outlineLevel="0" collapsed="false">
      <c r="A1334" s="144" t="s">
        <v>2246</v>
      </c>
      <c r="B1334" s="144"/>
      <c r="C1334" s="144" t="s">
        <v>630</v>
      </c>
      <c r="D1334" s="146" t="s">
        <v>630</v>
      </c>
      <c r="E1334" s="145" t="n">
        <v>38</v>
      </c>
      <c r="F1334" s="145" t="n">
        <v>96</v>
      </c>
      <c r="G1334" s="146" t="s">
        <v>236</v>
      </c>
    </row>
    <row r="1335" customFormat="false" ht="15.75" hidden="false" customHeight="true" outlineLevel="0" collapsed="false">
      <c r="A1335" s="144" t="s">
        <v>2247</v>
      </c>
      <c r="B1335" s="144"/>
      <c r="C1335" s="144" t="s">
        <v>630</v>
      </c>
      <c r="D1335" s="146" t="s">
        <v>630</v>
      </c>
      <c r="E1335" s="145" t="n">
        <v>38</v>
      </c>
      <c r="F1335" s="145" t="n">
        <v>96</v>
      </c>
      <c r="G1335" s="146" t="s">
        <v>236</v>
      </c>
    </row>
    <row r="1336" customFormat="false" ht="15.75" hidden="false" customHeight="true" outlineLevel="0" collapsed="false">
      <c r="A1336" s="144" t="s">
        <v>2248</v>
      </c>
      <c r="B1336" s="144"/>
      <c r="C1336" s="144" t="s">
        <v>630</v>
      </c>
      <c r="D1336" s="146" t="s">
        <v>630</v>
      </c>
      <c r="E1336" s="145" t="n">
        <v>38</v>
      </c>
      <c r="F1336" s="145" t="n">
        <v>96</v>
      </c>
      <c r="G1336" s="146" t="s">
        <v>236</v>
      </c>
    </row>
    <row r="1337" customFormat="false" ht="15.75" hidden="false" customHeight="true" outlineLevel="0" collapsed="false">
      <c r="A1337" s="144" t="s">
        <v>2249</v>
      </c>
      <c r="B1337" s="144"/>
      <c r="C1337" s="144" t="s">
        <v>630</v>
      </c>
      <c r="D1337" s="146" t="s">
        <v>630</v>
      </c>
      <c r="E1337" s="145" t="n">
        <v>38</v>
      </c>
      <c r="F1337" s="145" t="n">
        <v>96</v>
      </c>
      <c r="G1337" s="146" t="s">
        <v>236</v>
      </c>
    </row>
    <row r="1338" customFormat="false" ht="15.75" hidden="false" customHeight="true" outlineLevel="0" collapsed="false">
      <c r="A1338" s="144" t="s">
        <v>2250</v>
      </c>
      <c r="B1338" s="144"/>
      <c r="C1338" s="144" t="s">
        <v>630</v>
      </c>
      <c r="D1338" s="146" t="s">
        <v>630</v>
      </c>
      <c r="E1338" s="145" t="n">
        <v>38</v>
      </c>
      <c r="F1338" s="145" t="n">
        <v>96</v>
      </c>
      <c r="G1338" s="146" t="s">
        <v>236</v>
      </c>
    </row>
    <row r="1339" customFormat="false" ht="15.75" hidden="false" customHeight="true" outlineLevel="0" collapsed="false">
      <c r="A1339" s="144" t="s">
        <v>2251</v>
      </c>
      <c r="B1339" s="144" t="s">
        <v>1437</v>
      </c>
      <c r="C1339" s="144"/>
      <c r="D1339" s="146" t="s">
        <v>1437</v>
      </c>
      <c r="E1339" s="145" t="n">
        <v>500</v>
      </c>
      <c r="F1339" s="145" t="n">
        <v>5000</v>
      </c>
      <c r="G1339" s="146" t="s">
        <v>236</v>
      </c>
    </row>
    <row r="1340" customFormat="false" ht="15.75" hidden="false" customHeight="true" outlineLevel="0" collapsed="false">
      <c r="A1340" s="144" t="s">
        <v>2252</v>
      </c>
      <c r="B1340" s="144"/>
      <c r="C1340" s="144" t="s">
        <v>714</v>
      </c>
      <c r="D1340" s="146" t="s">
        <v>714</v>
      </c>
      <c r="E1340" s="145" t="n">
        <v>5950</v>
      </c>
      <c r="F1340" s="145" t="n">
        <v>10539</v>
      </c>
      <c r="G1340" s="146" t="s">
        <v>236</v>
      </c>
    </row>
    <row r="1341" customFormat="false" ht="15.75" hidden="false" customHeight="true" outlineLevel="0" collapsed="false">
      <c r="A1341" s="144" t="s">
        <v>2253</v>
      </c>
      <c r="B1341" s="144"/>
      <c r="C1341" s="144" t="s">
        <v>630</v>
      </c>
      <c r="D1341" s="146" t="s">
        <v>630</v>
      </c>
      <c r="E1341" s="145" t="n">
        <v>38</v>
      </c>
      <c r="F1341" s="145" t="n">
        <v>96</v>
      </c>
      <c r="G1341" s="146" t="s">
        <v>236</v>
      </c>
    </row>
    <row r="1342" customFormat="false" ht="15.75" hidden="false" customHeight="true" outlineLevel="0" collapsed="false">
      <c r="A1342" s="144" t="s">
        <v>2254</v>
      </c>
      <c r="B1342" s="144"/>
      <c r="C1342" s="144" t="s">
        <v>630</v>
      </c>
      <c r="D1342" s="146" t="s">
        <v>630</v>
      </c>
      <c r="E1342" s="145" t="n">
        <v>38</v>
      </c>
      <c r="F1342" s="145" t="n">
        <v>96</v>
      </c>
      <c r="G1342" s="146" t="s">
        <v>236</v>
      </c>
    </row>
    <row r="1343" customFormat="false" ht="15.75" hidden="false" customHeight="true" outlineLevel="0" collapsed="false">
      <c r="A1343" s="144" t="s">
        <v>2255</v>
      </c>
      <c r="B1343" s="144" t="s">
        <v>2256</v>
      </c>
      <c r="C1343" s="144"/>
      <c r="D1343" s="146" t="s">
        <v>2256</v>
      </c>
      <c r="E1343" s="145" t="n">
        <v>2250</v>
      </c>
      <c r="F1343" s="145" t="n">
        <v>3068</v>
      </c>
      <c r="G1343" s="146" t="s">
        <v>236</v>
      </c>
    </row>
    <row r="1344" customFormat="false" ht="15.75" hidden="false" customHeight="true" outlineLevel="0" collapsed="false">
      <c r="A1344" s="144" t="s">
        <v>2257</v>
      </c>
      <c r="B1344" s="144"/>
      <c r="C1344" s="144" t="s">
        <v>630</v>
      </c>
      <c r="D1344" s="146" t="s">
        <v>630</v>
      </c>
      <c r="E1344" s="145" t="n">
        <v>38</v>
      </c>
      <c r="F1344" s="145" t="n">
        <v>96</v>
      </c>
      <c r="G1344" s="146" t="s">
        <v>236</v>
      </c>
    </row>
    <row r="1345" customFormat="false" ht="15.75" hidden="false" customHeight="true" outlineLevel="0" collapsed="false">
      <c r="A1345" s="144" t="s">
        <v>2258</v>
      </c>
      <c r="B1345" s="144"/>
      <c r="C1345" s="144" t="s">
        <v>630</v>
      </c>
      <c r="D1345" s="146" t="s">
        <v>630</v>
      </c>
      <c r="E1345" s="145" t="n">
        <v>38</v>
      </c>
      <c r="F1345" s="145" t="n">
        <v>96</v>
      </c>
      <c r="G1345" s="146" t="s">
        <v>236</v>
      </c>
    </row>
    <row r="1346" customFormat="false" ht="15.75" hidden="false" customHeight="true" outlineLevel="0" collapsed="false">
      <c r="A1346" s="144" t="s">
        <v>2259</v>
      </c>
      <c r="B1346" s="144"/>
      <c r="C1346" s="144" t="s">
        <v>630</v>
      </c>
      <c r="D1346" s="146" t="s">
        <v>630</v>
      </c>
      <c r="E1346" s="145" t="n">
        <v>38</v>
      </c>
      <c r="F1346" s="145" t="n">
        <v>96</v>
      </c>
      <c r="G1346" s="146" t="s">
        <v>236</v>
      </c>
    </row>
    <row r="1347" customFormat="false" ht="15.75" hidden="false" customHeight="true" outlineLevel="0" collapsed="false">
      <c r="A1347" s="144" t="s">
        <v>2260</v>
      </c>
      <c r="B1347" s="144"/>
      <c r="C1347" s="144" t="s">
        <v>714</v>
      </c>
      <c r="D1347" s="146" t="s">
        <v>714</v>
      </c>
      <c r="E1347" s="145" t="n">
        <v>5950</v>
      </c>
      <c r="F1347" s="145" t="n">
        <v>10539</v>
      </c>
      <c r="G1347" s="146" t="s">
        <v>236</v>
      </c>
    </row>
    <row r="1348" customFormat="false" ht="15.75" hidden="false" customHeight="true" outlineLevel="0" collapsed="false">
      <c r="A1348" s="144" t="s">
        <v>2261</v>
      </c>
      <c r="B1348" s="144"/>
      <c r="C1348" s="144" t="s">
        <v>630</v>
      </c>
      <c r="D1348" s="146" t="s">
        <v>630</v>
      </c>
      <c r="E1348" s="145" t="n">
        <v>38</v>
      </c>
      <c r="F1348" s="145" t="n">
        <v>96</v>
      </c>
      <c r="G1348" s="146" t="s">
        <v>236</v>
      </c>
    </row>
    <row r="1349" customFormat="false" ht="15.75" hidden="false" customHeight="true" outlineLevel="0" collapsed="false">
      <c r="A1349" s="144" t="s">
        <v>2262</v>
      </c>
      <c r="B1349" s="144"/>
      <c r="C1349" s="144" t="s">
        <v>630</v>
      </c>
      <c r="D1349" s="146" t="s">
        <v>630</v>
      </c>
      <c r="E1349" s="145" t="n">
        <v>38</v>
      </c>
      <c r="F1349" s="145" t="n">
        <v>96</v>
      </c>
      <c r="G1349" s="146" t="s">
        <v>236</v>
      </c>
    </row>
    <row r="1350" customFormat="false" ht="15.75" hidden="false" customHeight="true" outlineLevel="0" collapsed="false">
      <c r="A1350" s="144" t="s">
        <v>2263</v>
      </c>
      <c r="B1350" s="144" t="s">
        <v>2264</v>
      </c>
      <c r="C1350" s="144"/>
      <c r="D1350" s="146" t="s">
        <v>2264</v>
      </c>
      <c r="E1350" s="145" t="n">
        <v>618</v>
      </c>
      <c r="F1350" s="145" t="n">
        <v>618</v>
      </c>
      <c r="G1350" s="146" t="s">
        <v>236</v>
      </c>
    </row>
    <row r="1351" customFormat="false" ht="15.75" hidden="false" customHeight="true" outlineLevel="0" collapsed="false">
      <c r="A1351" s="144" t="s">
        <v>2265</v>
      </c>
      <c r="B1351" s="144"/>
      <c r="C1351" s="144" t="s">
        <v>714</v>
      </c>
      <c r="D1351" s="146" t="s">
        <v>714</v>
      </c>
      <c r="E1351" s="145" t="n">
        <v>5950</v>
      </c>
      <c r="F1351" s="145" t="n">
        <v>10539</v>
      </c>
      <c r="G1351" s="146" t="s">
        <v>236</v>
      </c>
    </row>
    <row r="1352" customFormat="false" ht="15.75" hidden="false" customHeight="true" outlineLevel="0" collapsed="false">
      <c r="A1352" s="144" t="s">
        <v>2266</v>
      </c>
      <c r="B1352" s="144"/>
      <c r="C1352" s="144" t="s">
        <v>630</v>
      </c>
      <c r="D1352" s="146" t="s">
        <v>630</v>
      </c>
      <c r="E1352" s="145" t="n">
        <v>38</v>
      </c>
      <c r="F1352" s="145" t="n">
        <v>96</v>
      </c>
      <c r="G1352" s="146" t="s">
        <v>236</v>
      </c>
    </row>
    <row r="1353" customFormat="false" ht="15.75" hidden="false" customHeight="true" outlineLevel="0" collapsed="false">
      <c r="A1353" s="144" t="s">
        <v>2267</v>
      </c>
      <c r="B1353" s="144" t="s">
        <v>2268</v>
      </c>
      <c r="C1353" s="144"/>
      <c r="D1353" s="146" t="s">
        <v>2268</v>
      </c>
      <c r="E1353" s="145" t="n">
        <v>3000000</v>
      </c>
      <c r="F1353" s="145" t="n">
        <v>3000000</v>
      </c>
      <c r="G1353" s="146" t="s">
        <v>236</v>
      </c>
    </row>
    <row r="1354" customFormat="false" ht="15.75" hidden="false" customHeight="true" outlineLevel="0" collapsed="false">
      <c r="A1354" s="144" t="s">
        <v>2269</v>
      </c>
      <c r="B1354" s="144"/>
      <c r="C1354" s="144" t="s">
        <v>630</v>
      </c>
      <c r="D1354" s="146" t="s">
        <v>630</v>
      </c>
      <c r="E1354" s="145" t="n">
        <v>38</v>
      </c>
      <c r="F1354" s="145" t="n">
        <v>96</v>
      </c>
      <c r="G1354" s="146" t="s">
        <v>236</v>
      </c>
    </row>
    <row r="1355" customFormat="false" ht="15.75" hidden="false" customHeight="true" outlineLevel="0" collapsed="false">
      <c r="A1355" s="144" t="s">
        <v>2270</v>
      </c>
      <c r="B1355" s="144"/>
      <c r="C1355" s="144" t="s">
        <v>630</v>
      </c>
      <c r="D1355" s="146" t="s">
        <v>630</v>
      </c>
      <c r="E1355" s="145" t="n">
        <v>38</v>
      </c>
      <c r="F1355" s="145" t="n">
        <v>96</v>
      </c>
      <c r="G1355" s="146" t="s">
        <v>236</v>
      </c>
    </row>
    <row r="1356" customFormat="false" ht="15.75" hidden="false" customHeight="true" outlineLevel="0" collapsed="false">
      <c r="A1356" s="144" t="s">
        <v>2271</v>
      </c>
      <c r="B1356" s="144"/>
      <c r="C1356" s="144" t="s">
        <v>714</v>
      </c>
      <c r="D1356" s="146" t="s">
        <v>714</v>
      </c>
      <c r="E1356" s="145" t="n">
        <v>5950</v>
      </c>
      <c r="F1356" s="145" t="n">
        <v>10539</v>
      </c>
      <c r="G1356" s="146" t="s">
        <v>236</v>
      </c>
    </row>
    <row r="1357" customFormat="false" ht="15.75" hidden="false" customHeight="true" outlineLevel="0" collapsed="false">
      <c r="A1357" s="144" t="s">
        <v>2272</v>
      </c>
      <c r="B1357" s="144"/>
      <c r="C1357" s="144" t="s">
        <v>630</v>
      </c>
      <c r="D1357" s="146" t="s">
        <v>630</v>
      </c>
      <c r="E1357" s="145" t="n">
        <v>38</v>
      </c>
      <c r="F1357" s="145" t="n">
        <v>96</v>
      </c>
      <c r="G1357" s="146" t="s">
        <v>236</v>
      </c>
    </row>
    <row r="1358" customFormat="false" ht="15.75" hidden="false" customHeight="true" outlineLevel="0" collapsed="false">
      <c r="A1358" s="144" t="s">
        <v>2273</v>
      </c>
      <c r="B1358" s="144"/>
      <c r="C1358" s="144" t="s">
        <v>630</v>
      </c>
      <c r="D1358" s="146" t="s">
        <v>630</v>
      </c>
      <c r="E1358" s="145" t="n">
        <v>38</v>
      </c>
      <c r="F1358" s="145" t="n">
        <v>96</v>
      </c>
      <c r="G1358" s="146" t="s">
        <v>236</v>
      </c>
    </row>
    <row r="1359" customFormat="false" ht="15.75" hidden="false" customHeight="true" outlineLevel="0" collapsed="false">
      <c r="A1359" s="144" t="s">
        <v>2274</v>
      </c>
      <c r="B1359" s="144"/>
      <c r="C1359" s="144" t="s">
        <v>630</v>
      </c>
      <c r="D1359" s="146" t="s">
        <v>630</v>
      </c>
      <c r="E1359" s="145" t="n">
        <v>38</v>
      </c>
      <c r="F1359" s="145" t="n">
        <v>96</v>
      </c>
      <c r="G1359" s="146" t="s">
        <v>236</v>
      </c>
    </row>
    <row r="1360" customFormat="false" ht="15.75" hidden="false" customHeight="true" outlineLevel="0" collapsed="false">
      <c r="A1360" s="144" t="s">
        <v>2275</v>
      </c>
      <c r="B1360" s="144"/>
      <c r="C1360" s="144" t="s">
        <v>630</v>
      </c>
      <c r="D1360" s="146" t="s">
        <v>630</v>
      </c>
      <c r="E1360" s="145" t="n">
        <v>38</v>
      </c>
      <c r="F1360" s="145" t="n">
        <v>96</v>
      </c>
      <c r="G1360" s="146" t="s">
        <v>236</v>
      </c>
    </row>
    <row r="1361" customFormat="false" ht="15.75" hidden="false" customHeight="true" outlineLevel="0" collapsed="false">
      <c r="A1361" s="144" t="s">
        <v>2276</v>
      </c>
      <c r="B1361" s="144"/>
      <c r="C1361" s="144" t="s">
        <v>630</v>
      </c>
      <c r="D1361" s="146" t="s">
        <v>630</v>
      </c>
      <c r="E1361" s="145" t="n">
        <v>38</v>
      </c>
      <c r="F1361" s="145" t="n">
        <v>96</v>
      </c>
      <c r="G1361" s="146" t="s">
        <v>236</v>
      </c>
    </row>
    <row r="1362" customFormat="false" ht="15.75" hidden="false" customHeight="true" outlineLevel="0" collapsed="false">
      <c r="A1362" s="144" t="s">
        <v>2277</v>
      </c>
      <c r="B1362" s="144"/>
      <c r="C1362" s="144" t="s">
        <v>714</v>
      </c>
      <c r="D1362" s="146" t="s">
        <v>714</v>
      </c>
      <c r="E1362" s="145" t="n">
        <v>5950</v>
      </c>
      <c r="F1362" s="145" t="n">
        <v>10539</v>
      </c>
      <c r="G1362" s="146" t="s">
        <v>236</v>
      </c>
    </row>
    <row r="1363" customFormat="false" ht="15.75" hidden="false" customHeight="true" outlineLevel="0" collapsed="false">
      <c r="A1363" s="144" t="s">
        <v>2278</v>
      </c>
      <c r="B1363" s="144"/>
      <c r="C1363" s="144" t="s">
        <v>630</v>
      </c>
      <c r="D1363" s="146" t="s">
        <v>630</v>
      </c>
      <c r="E1363" s="145" t="n">
        <v>38</v>
      </c>
      <c r="F1363" s="145" t="n">
        <v>96</v>
      </c>
      <c r="G1363" s="146" t="s">
        <v>236</v>
      </c>
    </row>
    <row r="1364" customFormat="false" ht="15.75" hidden="false" customHeight="true" outlineLevel="0" collapsed="false">
      <c r="A1364" s="144" t="s">
        <v>2279</v>
      </c>
      <c r="B1364" s="144"/>
      <c r="C1364" s="144" t="s">
        <v>630</v>
      </c>
      <c r="D1364" s="146" t="s">
        <v>630</v>
      </c>
      <c r="E1364" s="145" t="n">
        <v>38</v>
      </c>
      <c r="F1364" s="145" t="n">
        <v>96</v>
      </c>
      <c r="G1364" s="146" t="s">
        <v>236</v>
      </c>
    </row>
    <row r="1365" customFormat="false" ht="15.75" hidden="false" customHeight="true" outlineLevel="0" collapsed="false">
      <c r="A1365" s="144" t="s">
        <v>2280</v>
      </c>
      <c r="B1365" s="144"/>
      <c r="C1365" s="144" t="s">
        <v>630</v>
      </c>
      <c r="D1365" s="146" t="s">
        <v>630</v>
      </c>
      <c r="E1365" s="145" t="n">
        <v>38</v>
      </c>
      <c r="F1365" s="145" t="n">
        <v>96</v>
      </c>
      <c r="G1365" s="146" t="s">
        <v>236</v>
      </c>
    </row>
    <row r="1366" customFormat="false" ht="15.75" hidden="false" customHeight="true" outlineLevel="0" collapsed="false">
      <c r="A1366" s="144" t="s">
        <v>2281</v>
      </c>
      <c r="B1366" s="144"/>
      <c r="C1366" s="144" t="s">
        <v>630</v>
      </c>
      <c r="D1366" s="146" t="s">
        <v>630</v>
      </c>
      <c r="E1366" s="145" t="n">
        <v>38</v>
      </c>
      <c r="F1366" s="145" t="n">
        <v>96</v>
      </c>
      <c r="G1366" s="146" t="s">
        <v>236</v>
      </c>
    </row>
    <row r="1367" customFormat="false" ht="15.75" hidden="false" customHeight="true" outlineLevel="0" collapsed="false">
      <c r="A1367" s="144" t="s">
        <v>2282</v>
      </c>
      <c r="B1367" s="144" t="s">
        <v>2283</v>
      </c>
      <c r="C1367" s="144"/>
      <c r="D1367" s="146" t="s">
        <v>2283</v>
      </c>
      <c r="E1367" s="145" t="n">
        <v>44</v>
      </c>
      <c r="F1367" s="145" t="n">
        <v>60</v>
      </c>
      <c r="G1367" s="146" t="s">
        <v>236</v>
      </c>
    </row>
    <row r="1368" customFormat="false" ht="15.75" hidden="false" customHeight="true" outlineLevel="0" collapsed="false">
      <c r="A1368" s="144" t="s">
        <v>2284</v>
      </c>
      <c r="B1368" s="144"/>
      <c r="C1368" s="144" t="s">
        <v>630</v>
      </c>
      <c r="D1368" s="146" t="s">
        <v>630</v>
      </c>
      <c r="E1368" s="145" t="n">
        <v>38</v>
      </c>
      <c r="F1368" s="145" t="n">
        <v>96</v>
      </c>
      <c r="G1368" s="146" t="s">
        <v>236</v>
      </c>
    </row>
    <row r="1369" customFormat="false" ht="15.75" hidden="false" customHeight="true" outlineLevel="0" collapsed="false">
      <c r="A1369" s="144" t="s">
        <v>2285</v>
      </c>
      <c r="B1369" s="144"/>
      <c r="C1369" s="144" t="s">
        <v>630</v>
      </c>
      <c r="D1369" s="146" t="s">
        <v>630</v>
      </c>
      <c r="E1369" s="145" t="n">
        <v>38</v>
      </c>
      <c r="F1369" s="145" t="n">
        <v>96</v>
      </c>
      <c r="G1369" s="146" t="s">
        <v>236</v>
      </c>
    </row>
    <row r="1370" customFormat="false" ht="15.75" hidden="false" customHeight="true" outlineLevel="0" collapsed="false">
      <c r="A1370" s="144" t="s">
        <v>2286</v>
      </c>
      <c r="B1370" s="144"/>
      <c r="C1370" s="144" t="s">
        <v>630</v>
      </c>
      <c r="D1370" s="146" t="s">
        <v>630</v>
      </c>
      <c r="E1370" s="145" t="n">
        <v>38</v>
      </c>
      <c r="F1370" s="145" t="n">
        <v>96</v>
      </c>
      <c r="G1370" s="146" t="s">
        <v>236</v>
      </c>
    </row>
    <row r="1371" customFormat="false" ht="15.75" hidden="false" customHeight="true" outlineLevel="0" collapsed="false">
      <c r="A1371" s="144" t="s">
        <v>2287</v>
      </c>
      <c r="B1371" s="144"/>
      <c r="C1371" s="144" t="s">
        <v>630</v>
      </c>
      <c r="D1371" s="146" t="s">
        <v>630</v>
      </c>
      <c r="E1371" s="145" t="n">
        <v>38</v>
      </c>
      <c r="F1371" s="145" t="n">
        <v>96</v>
      </c>
      <c r="G1371" s="146" t="s">
        <v>236</v>
      </c>
    </row>
    <row r="1372" customFormat="false" ht="15.75" hidden="false" customHeight="true" outlineLevel="0" collapsed="false">
      <c r="A1372" s="144" t="s">
        <v>2288</v>
      </c>
      <c r="B1372" s="144"/>
      <c r="C1372" s="144" t="s">
        <v>630</v>
      </c>
      <c r="D1372" s="146" t="s">
        <v>630</v>
      </c>
      <c r="E1372" s="145" t="n">
        <v>38</v>
      </c>
      <c r="F1372" s="145" t="n">
        <v>96</v>
      </c>
      <c r="G1372" s="146" t="s">
        <v>236</v>
      </c>
    </row>
    <row r="1373" customFormat="false" ht="15.75" hidden="false" customHeight="true" outlineLevel="0" collapsed="false">
      <c r="A1373" s="144" t="s">
        <v>2289</v>
      </c>
      <c r="B1373" s="144"/>
      <c r="C1373" s="144" t="s">
        <v>630</v>
      </c>
      <c r="D1373" s="146" t="s">
        <v>630</v>
      </c>
      <c r="E1373" s="145" t="n">
        <v>38</v>
      </c>
      <c r="F1373" s="145" t="n">
        <v>96</v>
      </c>
      <c r="G1373" s="146" t="s">
        <v>236</v>
      </c>
    </row>
    <row r="1374" customFormat="false" ht="15.75" hidden="false" customHeight="true" outlineLevel="0" collapsed="false">
      <c r="A1374" s="144" t="s">
        <v>2290</v>
      </c>
      <c r="B1374" s="144"/>
      <c r="C1374" s="144" t="s">
        <v>630</v>
      </c>
      <c r="D1374" s="146" t="s">
        <v>630</v>
      </c>
      <c r="E1374" s="145" t="n">
        <v>38</v>
      </c>
      <c r="F1374" s="145" t="n">
        <v>96</v>
      </c>
      <c r="G1374" s="146" t="s">
        <v>236</v>
      </c>
    </row>
    <row r="1375" customFormat="false" ht="15.75" hidden="false" customHeight="true" outlineLevel="0" collapsed="false">
      <c r="A1375" s="144" t="s">
        <v>2291</v>
      </c>
      <c r="B1375" s="144"/>
      <c r="C1375" s="144" t="s">
        <v>630</v>
      </c>
      <c r="D1375" s="146" t="s">
        <v>630</v>
      </c>
      <c r="E1375" s="145" t="n">
        <v>38</v>
      </c>
      <c r="F1375" s="145" t="n">
        <v>96</v>
      </c>
      <c r="G1375" s="146" t="s">
        <v>236</v>
      </c>
    </row>
    <row r="1376" customFormat="false" ht="15.75" hidden="false" customHeight="true" outlineLevel="0" collapsed="false">
      <c r="A1376" s="144" t="s">
        <v>2292</v>
      </c>
      <c r="B1376" s="144"/>
      <c r="C1376" s="144" t="s">
        <v>630</v>
      </c>
      <c r="D1376" s="146" t="s">
        <v>630</v>
      </c>
      <c r="E1376" s="145" t="n">
        <v>38</v>
      </c>
      <c r="F1376" s="145" t="n">
        <v>96</v>
      </c>
      <c r="G1376" s="146" t="s">
        <v>236</v>
      </c>
    </row>
    <row r="1377" customFormat="false" ht="15.75" hidden="false" customHeight="true" outlineLevel="0" collapsed="false">
      <c r="A1377" s="144" t="s">
        <v>2293</v>
      </c>
      <c r="B1377" s="144" t="s">
        <v>2294</v>
      </c>
      <c r="C1377" s="144"/>
      <c r="D1377" s="146" t="s">
        <v>2294</v>
      </c>
      <c r="E1377" s="145" t="n">
        <v>468</v>
      </c>
      <c r="F1377" s="145" t="n">
        <v>468</v>
      </c>
      <c r="G1377" s="146" t="s">
        <v>236</v>
      </c>
    </row>
    <row r="1378" customFormat="false" ht="15.75" hidden="false" customHeight="true" outlineLevel="0" collapsed="false">
      <c r="A1378" s="144" t="s">
        <v>2295</v>
      </c>
      <c r="B1378" s="144"/>
      <c r="C1378" s="144" t="s">
        <v>630</v>
      </c>
      <c r="D1378" s="146" t="s">
        <v>630</v>
      </c>
      <c r="E1378" s="145" t="n">
        <v>38</v>
      </c>
      <c r="F1378" s="145" t="n">
        <v>96</v>
      </c>
      <c r="G1378" s="146" t="s">
        <v>236</v>
      </c>
    </row>
    <row r="1379" customFormat="false" ht="15.75" hidden="false" customHeight="true" outlineLevel="0" collapsed="false">
      <c r="A1379" s="144" t="s">
        <v>2296</v>
      </c>
      <c r="B1379" s="144"/>
      <c r="C1379" s="144" t="s">
        <v>630</v>
      </c>
      <c r="D1379" s="146" t="s">
        <v>630</v>
      </c>
      <c r="E1379" s="145" t="n">
        <v>38</v>
      </c>
      <c r="F1379" s="145" t="n">
        <v>96</v>
      </c>
      <c r="G1379" s="146" t="s">
        <v>236</v>
      </c>
    </row>
    <row r="1380" customFormat="false" ht="15.75" hidden="false" customHeight="true" outlineLevel="0" collapsed="false">
      <c r="A1380" s="144" t="s">
        <v>539</v>
      </c>
      <c r="B1380" s="144" t="s">
        <v>2297</v>
      </c>
      <c r="C1380" s="144"/>
      <c r="D1380" s="146" t="s">
        <v>2297</v>
      </c>
      <c r="E1380" s="145" t="n">
        <v>15000</v>
      </c>
      <c r="F1380" s="145" t="n">
        <v>15000</v>
      </c>
      <c r="G1380" s="146" t="s">
        <v>236</v>
      </c>
    </row>
    <row r="1381" customFormat="false" ht="15.75" hidden="false" customHeight="true" outlineLevel="0" collapsed="false">
      <c r="A1381" s="144" t="s">
        <v>2298</v>
      </c>
      <c r="B1381" s="144"/>
      <c r="C1381" s="144" t="s">
        <v>630</v>
      </c>
      <c r="D1381" s="146" t="s">
        <v>630</v>
      </c>
      <c r="E1381" s="145" t="n">
        <v>38</v>
      </c>
      <c r="F1381" s="145" t="n">
        <v>96</v>
      </c>
      <c r="G1381" s="146" t="s">
        <v>236</v>
      </c>
    </row>
    <row r="1382" customFormat="false" ht="15.75" hidden="false" customHeight="true" outlineLevel="0" collapsed="false">
      <c r="A1382" s="144" t="s">
        <v>2299</v>
      </c>
      <c r="B1382" s="144"/>
      <c r="C1382" s="144" t="s">
        <v>714</v>
      </c>
      <c r="D1382" s="146" t="s">
        <v>714</v>
      </c>
      <c r="E1382" s="145" t="n">
        <v>5950</v>
      </c>
      <c r="F1382" s="145" t="n">
        <v>10539</v>
      </c>
      <c r="G1382" s="146" t="s">
        <v>236</v>
      </c>
    </row>
    <row r="1383" customFormat="false" ht="15.75" hidden="false" customHeight="true" outlineLevel="0" collapsed="false">
      <c r="A1383" s="144" t="s">
        <v>2300</v>
      </c>
      <c r="B1383" s="144"/>
      <c r="C1383" s="144" t="s">
        <v>630</v>
      </c>
      <c r="D1383" s="146" t="s">
        <v>630</v>
      </c>
      <c r="E1383" s="145" t="n">
        <v>38</v>
      </c>
      <c r="F1383" s="145" t="n">
        <v>96</v>
      </c>
      <c r="G1383" s="146" t="s">
        <v>236</v>
      </c>
    </row>
    <row r="1384" customFormat="false" ht="15.75" hidden="false" customHeight="true" outlineLevel="0" collapsed="false">
      <c r="A1384" s="144" t="s">
        <v>2301</v>
      </c>
      <c r="B1384" s="144"/>
      <c r="C1384" s="144" t="s">
        <v>630</v>
      </c>
      <c r="D1384" s="146" t="s">
        <v>630</v>
      </c>
      <c r="E1384" s="145" t="n">
        <v>38</v>
      </c>
      <c r="F1384" s="145" t="n">
        <v>96</v>
      </c>
      <c r="G1384" s="146" t="s">
        <v>236</v>
      </c>
    </row>
    <row r="1385" customFormat="false" ht="15.75" hidden="false" customHeight="true" outlineLevel="0" collapsed="false">
      <c r="A1385" s="144" t="s">
        <v>2302</v>
      </c>
      <c r="B1385" s="144"/>
      <c r="C1385" s="144" t="s">
        <v>630</v>
      </c>
      <c r="D1385" s="146" t="s">
        <v>630</v>
      </c>
      <c r="E1385" s="145" t="n">
        <v>38</v>
      </c>
      <c r="F1385" s="145" t="n">
        <v>96</v>
      </c>
      <c r="G1385" s="146" t="s">
        <v>236</v>
      </c>
    </row>
    <row r="1386" customFormat="false" ht="15.75" hidden="false" customHeight="true" outlineLevel="0" collapsed="false">
      <c r="A1386" s="144" t="s">
        <v>2303</v>
      </c>
      <c r="B1386" s="144"/>
      <c r="C1386" s="144" t="s">
        <v>630</v>
      </c>
      <c r="D1386" s="146" t="s">
        <v>630</v>
      </c>
      <c r="E1386" s="145" t="n">
        <v>38</v>
      </c>
      <c r="F1386" s="145" t="n">
        <v>96</v>
      </c>
      <c r="G1386" s="146" t="s">
        <v>236</v>
      </c>
    </row>
    <row r="1387" customFormat="false" ht="15.75" hidden="false" customHeight="true" outlineLevel="0" collapsed="false">
      <c r="A1387" s="144" t="s">
        <v>2304</v>
      </c>
      <c r="B1387" s="144"/>
      <c r="C1387" s="144" t="s">
        <v>630</v>
      </c>
      <c r="D1387" s="146" t="s">
        <v>630</v>
      </c>
      <c r="E1387" s="145" t="n">
        <v>38</v>
      </c>
      <c r="F1387" s="145" t="n">
        <v>96</v>
      </c>
      <c r="G1387" s="146" t="s">
        <v>236</v>
      </c>
    </row>
    <row r="1388" customFormat="false" ht="15.75" hidden="false" customHeight="true" outlineLevel="0" collapsed="false">
      <c r="A1388" s="144" t="s">
        <v>2305</v>
      </c>
      <c r="B1388" s="144"/>
      <c r="C1388" s="144" t="s">
        <v>630</v>
      </c>
      <c r="D1388" s="146" t="s">
        <v>630</v>
      </c>
      <c r="E1388" s="145" t="n">
        <v>38</v>
      </c>
      <c r="F1388" s="145" t="n">
        <v>96</v>
      </c>
      <c r="G1388" s="146" t="s">
        <v>236</v>
      </c>
    </row>
    <row r="1389" customFormat="false" ht="15.75" hidden="false" customHeight="true" outlineLevel="0" collapsed="false">
      <c r="A1389" s="144" t="s">
        <v>2306</v>
      </c>
      <c r="B1389" s="144"/>
      <c r="C1389" s="144" t="s">
        <v>598</v>
      </c>
      <c r="D1389" s="146" t="s">
        <v>598</v>
      </c>
      <c r="E1389" s="145" t="n">
        <v>38</v>
      </c>
      <c r="F1389" s="145" t="n">
        <v>97</v>
      </c>
      <c r="G1389" s="146" t="s">
        <v>236</v>
      </c>
    </row>
    <row r="1390" customFormat="false" ht="15.75" hidden="false" customHeight="true" outlineLevel="0" collapsed="false">
      <c r="A1390" s="144" t="s">
        <v>2307</v>
      </c>
      <c r="B1390" s="144"/>
      <c r="C1390" s="144" t="s">
        <v>630</v>
      </c>
      <c r="D1390" s="146" t="s">
        <v>630</v>
      </c>
      <c r="E1390" s="145" t="n">
        <v>38</v>
      </c>
      <c r="F1390" s="145" t="n">
        <v>96</v>
      </c>
      <c r="G1390" s="146" t="s">
        <v>236</v>
      </c>
    </row>
    <row r="1391" customFormat="false" ht="15.75" hidden="false" customHeight="true" outlineLevel="0" collapsed="false">
      <c r="A1391" s="144" t="s">
        <v>2308</v>
      </c>
      <c r="B1391" s="144"/>
      <c r="C1391" s="144" t="s">
        <v>630</v>
      </c>
      <c r="D1391" s="146" t="s">
        <v>630</v>
      </c>
      <c r="E1391" s="145" t="n">
        <v>38</v>
      </c>
      <c r="F1391" s="145" t="n">
        <v>96</v>
      </c>
      <c r="G1391" s="146" t="s">
        <v>236</v>
      </c>
    </row>
    <row r="1392" customFormat="false" ht="15.75" hidden="false" customHeight="true" outlineLevel="0" collapsed="false">
      <c r="A1392" s="144" t="s">
        <v>2309</v>
      </c>
      <c r="B1392" s="144"/>
      <c r="C1392" s="144" t="s">
        <v>630</v>
      </c>
      <c r="D1392" s="146" t="s">
        <v>630</v>
      </c>
      <c r="E1392" s="145" t="n">
        <v>38</v>
      </c>
      <c r="F1392" s="145" t="n">
        <v>96</v>
      </c>
      <c r="G1392" s="146" t="s">
        <v>236</v>
      </c>
    </row>
    <row r="1393" customFormat="false" ht="15.75" hidden="false" customHeight="true" outlineLevel="0" collapsed="false">
      <c r="A1393" s="144" t="s">
        <v>2310</v>
      </c>
      <c r="B1393" s="144"/>
      <c r="C1393" s="144" t="s">
        <v>630</v>
      </c>
      <c r="D1393" s="146" t="s">
        <v>630</v>
      </c>
      <c r="E1393" s="145" t="n">
        <v>38</v>
      </c>
      <c r="F1393" s="145" t="n">
        <v>96</v>
      </c>
      <c r="G1393" s="146" t="s">
        <v>236</v>
      </c>
    </row>
    <row r="1394" customFormat="false" ht="15.75" hidden="false" customHeight="true" outlineLevel="0" collapsed="false">
      <c r="A1394" s="144" t="s">
        <v>2311</v>
      </c>
      <c r="B1394" s="144"/>
      <c r="C1394" s="144" t="s">
        <v>630</v>
      </c>
      <c r="D1394" s="146" t="s">
        <v>630</v>
      </c>
      <c r="E1394" s="145" t="n">
        <v>38</v>
      </c>
      <c r="F1394" s="145" t="n">
        <v>96</v>
      </c>
      <c r="G1394" s="146" t="s">
        <v>236</v>
      </c>
    </row>
    <row r="1395" customFormat="false" ht="15.75" hidden="false" customHeight="true" outlineLevel="0" collapsed="false">
      <c r="A1395" s="144" t="s">
        <v>2312</v>
      </c>
      <c r="B1395" s="144"/>
      <c r="C1395" s="144" t="s">
        <v>714</v>
      </c>
      <c r="D1395" s="146" t="s">
        <v>714</v>
      </c>
      <c r="E1395" s="145" t="n">
        <v>5950</v>
      </c>
      <c r="F1395" s="145" t="n">
        <v>10539</v>
      </c>
      <c r="G1395" s="146" t="s">
        <v>236</v>
      </c>
    </row>
    <row r="1396" customFormat="false" ht="15.75" hidden="false" customHeight="true" outlineLevel="0" collapsed="false">
      <c r="A1396" s="144" t="s">
        <v>2313</v>
      </c>
      <c r="B1396" s="144"/>
      <c r="C1396" s="144" t="s">
        <v>630</v>
      </c>
      <c r="D1396" s="146" t="s">
        <v>630</v>
      </c>
      <c r="E1396" s="145" t="n">
        <v>38</v>
      </c>
      <c r="F1396" s="145" t="n">
        <v>96</v>
      </c>
      <c r="G1396" s="146" t="s">
        <v>236</v>
      </c>
    </row>
    <row r="1397" customFormat="false" ht="15.75" hidden="false" customHeight="true" outlineLevel="0" collapsed="false">
      <c r="A1397" s="144" t="s">
        <v>2314</v>
      </c>
      <c r="B1397" s="144"/>
      <c r="C1397" s="144" t="s">
        <v>714</v>
      </c>
      <c r="D1397" s="146" t="s">
        <v>714</v>
      </c>
      <c r="E1397" s="145" t="n">
        <v>5950</v>
      </c>
      <c r="F1397" s="145" t="n">
        <v>10539</v>
      </c>
      <c r="G1397" s="146" t="s">
        <v>236</v>
      </c>
    </row>
    <row r="1398" customFormat="false" ht="15.75" hidden="false" customHeight="true" outlineLevel="0" collapsed="false">
      <c r="A1398" s="144" t="s">
        <v>2315</v>
      </c>
      <c r="B1398" s="144"/>
      <c r="C1398" s="144" t="s">
        <v>714</v>
      </c>
      <c r="D1398" s="146" t="s">
        <v>714</v>
      </c>
      <c r="E1398" s="145" t="n">
        <v>5950</v>
      </c>
      <c r="F1398" s="145" t="n">
        <v>10539</v>
      </c>
      <c r="G1398" s="146" t="s">
        <v>236</v>
      </c>
    </row>
    <row r="1399" customFormat="false" ht="15.75" hidden="false" customHeight="true" outlineLevel="0" collapsed="false">
      <c r="A1399" s="144" t="s">
        <v>2316</v>
      </c>
      <c r="B1399" s="144"/>
      <c r="C1399" s="144" t="s">
        <v>630</v>
      </c>
      <c r="D1399" s="146" t="s">
        <v>630</v>
      </c>
      <c r="E1399" s="145" t="n">
        <v>38</v>
      </c>
      <c r="F1399" s="145" t="n">
        <v>96</v>
      </c>
      <c r="G1399" s="146" t="s">
        <v>236</v>
      </c>
    </row>
    <row r="1400" customFormat="false" ht="15.75" hidden="false" customHeight="true" outlineLevel="0" collapsed="false">
      <c r="A1400" s="144" t="s">
        <v>2317</v>
      </c>
      <c r="B1400" s="144"/>
      <c r="C1400" s="144" t="s">
        <v>630</v>
      </c>
      <c r="D1400" s="146" t="s">
        <v>630</v>
      </c>
      <c r="E1400" s="145" t="n">
        <v>38</v>
      </c>
      <c r="F1400" s="145" t="n">
        <v>96</v>
      </c>
      <c r="G1400" s="146" t="s">
        <v>236</v>
      </c>
    </row>
    <row r="1401" customFormat="false" ht="15.75" hidden="false" customHeight="true" outlineLevel="0" collapsed="false">
      <c r="A1401" s="144" t="s">
        <v>2318</v>
      </c>
      <c r="B1401" s="144"/>
      <c r="C1401" s="144" t="s">
        <v>630</v>
      </c>
      <c r="D1401" s="146" t="s">
        <v>630</v>
      </c>
      <c r="E1401" s="145" t="n">
        <v>38</v>
      </c>
      <c r="F1401" s="145" t="n">
        <v>96</v>
      </c>
      <c r="G1401" s="146" t="s">
        <v>236</v>
      </c>
    </row>
    <row r="1402" customFormat="false" ht="15.75" hidden="false" customHeight="true" outlineLevel="0" collapsed="false">
      <c r="A1402" s="144" t="s">
        <v>2319</v>
      </c>
      <c r="B1402" s="144"/>
      <c r="C1402" s="144" t="s">
        <v>630</v>
      </c>
      <c r="D1402" s="146" t="s">
        <v>630</v>
      </c>
      <c r="E1402" s="145" t="n">
        <v>38</v>
      </c>
      <c r="F1402" s="145" t="n">
        <v>96</v>
      </c>
      <c r="G1402" s="146" t="s">
        <v>236</v>
      </c>
    </row>
    <row r="1403" customFormat="false" ht="15.75" hidden="false" customHeight="true" outlineLevel="0" collapsed="false">
      <c r="A1403" s="144" t="s">
        <v>2320</v>
      </c>
      <c r="B1403" s="144" t="s">
        <v>2321</v>
      </c>
      <c r="C1403" s="144"/>
      <c r="D1403" s="146" t="s">
        <v>2321</v>
      </c>
      <c r="E1403" s="145" t="n">
        <v>951</v>
      </c>
      <c r="F1403" s="145" t="n">
        <v>951</v>
      </c>
      <c r="G1403" s="146" t="s">
        <v>236</v>
      </c>
    </row>
    <row r="1404" customFormat="false" ht="15.75" hidden="false" customHeight="true" outlineLevel="0" collapsed="false">
      <c r="A1404" s="144" t="s">
        <v>2322</v>
      </c>
      <c r="B1404" s="144"/>
      <c r="C1404" s="144" t="s">
        <v>630</v>
      </c>
      <c r="D1404" s="146" t="s">
        <v>630</v>
      </c>
      <c r="E1404" s="145" t="n">
        <v>38</v>
      </c>
      <c r="F1404" s="145" t="n">
        <v>96</v>
      </c>
      <c r="G1404" s="146" t="s">
        <v>236</v>
      </c>
    </row>
    <row r="1405" customFormat="false" ht="15.75" hidden="false" customHeight="true" outlineLevel="0" collapsed="false">
      <c r="A1405" s="144" t="s">
        <v>2323</v>
      </c>
      <c r="B1405" s="144"/>
      <c r="C1405" s="144" t="s">
        <v>630</v>
      </c>
      <c r="D1405" s="146" t="s">
        <v>630</v>
      </c>
      <c r="E1405" s="145" t="n">
        <v>38</v>
      </c>
      <c r="F1405" s="145" t="n">
        <v>96</v>
      </c>
      <c r="G1405" s="146" t="s">
        <v>236</v>
      </c>
    </row>
    <row r="1406" customFormat="false" ht="15.75" hidden="false" customHeight="true" outlineLevel="0" collapsed="false">
      <c r="A1406" s="144" t="s">
        <v>2324</v>
      </c>
      <c r="B1406" s="144"/>
      <c r="C1406" s="144" t="s">
        <v>630</v>
      </c>
      <c r="D1406" s="146" t="s">
        <v>630</v>
      </c>
      <c r="E1406" s="145" t="n">
        <v>38</v>
      </c>
      <c r="F1406" s="145" t="n">
        <v>96</v>
      </c>
      <c r="G1406" s="146" t="s">
        <v>236</v>
      </c>
    </row>
    <row r="1407" customFormat="false" ht="15.75" hidden="false" customHeight="true" outlineLevel="0" collapsed="false">
      <c r="A1407" s="144" t="s">
        <v>2325</v>
      </c>
      <c r="B1407" s="144"/>
      <c r="C1407" s="144" t="s">
        <v>630</v>
      </c>
      <c r="D1407" s="146" t="s">
        <v>630</v>
      </c>
      <c r="E1407" s="145" t="n">
        <v>38</v>
      </c>
      <c r="F1407" s="145" t="n">
        <v>96</v>
      </c>
      <c r="G1407" s="146" t="s">
        <v>236</v>
      </c>
    </row>
    <row r="1408" customFormat="false" ht="15.75" hidden="false" customHeight="true" outlineLevel="0" collapsed="false">
      <c r="A1408" s="144" t="s">
        <v>2326</v>
      </c>
      <c r="B1408" s="144"/>
      <c r="C1408" s="144" t="s">
        <v>630</v>
      </c>
      <c r="D1408" s="146" t="s">
        <v>630</v>
      </c>
      <c r="E1408" s="145" t="n">
        <v>38</v>
      </c>
      <c r="F1408" s="145" t="n">
        <v>96</v>
      </c>
      <c r="G1408" s="146" t="s">
        <v>236</v>
      </c>
    </row>
    <row r="1409" customFormat="false" ht="15.75" hidden="false" customHeight="true" outlineLevel="0" collapsed="false">
      <c r="A1409" s="144" t="s">
        <v>2327</v>
      </c>
      <c r="B1409" s="144"/>
      <c r="C1409" s="144" t="s">
        <v>630</v>
      </c>
      <c r="D1409" s="146" t="s">
        <v>630</v>
      </c>
      <c r="E1409" s="145" t="n">
        <v>38</v>
      </c>
      <c r="F1409" s="145" t="n">
        <v>96</v>
      </c>
      <c r="G1409" s="146" t="s">
        <v>236</v>
      </c>
    </row>
    <row r="1410" customFormat="false" ht="15.75" hidden="false" customHeight="true" outlineLevel="0" collapsed="false">
      <c r="A1410" s="144" t="s">
        <v>2328</v>
      </c>
      <c r="B1410" s="144"/>
      <c r="C1410" s="144" t="s">
        <v>630</v>
      </c>
      <c r="D1410" s="146" t="s">
        <v>630</v>
      </c>
      <c r="E1410" s="145" t="n">
        <v>38</v>
      </c>
      <c r="F1410" s="145" t="n">
        <v>96</v>
      </c>
      <c r="G1410" s="146" t="s">
        <v>236</v>
      </c>
    </row>
    <row r="1411" customFormat="false" ht="15.75" hidden="false" customHeight="true" outlineLevel="0" collapsed="false">
      <c r="A1411" s="144" t="s">
        <v>2329</v>
      </c>
      <c r="B1411" s="144" t="s">
        <v>2330</v>
      </c>
      <c r="C1411" s="144"/>
      <c r="D1411" s="146" t="s">
        <v>2330</v>
      </c>
      <c r="E1411" s="145" t="n">
        <v>109</v>
      </c>
      <c r="F1411" s="145" t="n">
        <v>149</v>
      </c>
      <c r="G1411" s="146" t="s">
        <v>236</v>
      </c>
    </row>
    <row r="1412" customFormat="false" ht="15.75" hidden="false" customHeight="true" outlineLevel="0" collapsed="false">
      <c r="A1412" s="144" t="s">
        <v>2331</v>
      </c>
      <c r="B1412" s="144"/>
      <c r="C1412" s="144" t="s">
        <v>630</v>
      </c>
      <c r="D1412" s="146" t="s">
        <v>630</v>
      </c>
      <c r="E1412" s="145" t="n">
        <v>38</v>
      </c>
      <c r="F1412" s="145" t="n">
        <v>96</v>
      </c>
      <c r="G1412" s="146" t="s">
        <v>236</v>
      </c>
    </row>
    <row r="1413" customFormat="false" ht="15.75" hidden="false" customHeight="true" outlineLevel="0" collapsed="false">
      <c r="A1413" s="144" t="s">
        <v>2332</v>
      </c>
      <c r="B1413" s="144"/>
      <c r="C1413" s="144" t="s">
        <v>714</v>
      </c>
      <c r="D1413" s="146" t="s">
        <v>714</v>
      </c>
      <c r="E1413" s="145" t="n">
        <v>5950</v>
      </c>
      <c r="F1413" s="145" t="n">
        <v>10539</v>
      </c>
      <c r="G1413" s="146" t="s">
        <v>236</v>
      </c>
    </row>
    <row r="1414" customFormat="false" ht="15.75" hidden="false" customHeight="true" outlineLevel="0" collapsed="false">
      <c r="A1414" s="144" t="s">
        <v>2333</v>
      </c>
      <c r="B1414" s="144"/>
      <c r="C1414" s="144" t="s">
        <v>630</v>
      </c>
      <c r="D1414" s="146" t="s">
        <v>630</v>
      </c>
      <c r="E1414" s="145" t="n">
        <v>38</v>
      </c>
      <c r="F1414" s="145" t="n">
        <v>96</v>
      </c>
      <c r="G1414" s="146" t="s">
        <v>236</v>
      </c>
    </row>
    <row r="1415" customFormat="false" ht="15.75" hidden="false" customHeight="true" outlineLevel="0" collapsed="false">
      <c r="A1415" s="144" t="s">
        <v>2334</v>
      </c>
      <c r="B1415" s="144"/>
      <c r="C1415" s="144" t="s">
        <v>630</v>
      </c>
      <c r="D1415" s="146" t="s">
        <v>630</v>
      </c>
      <c r="E1415" s="145" t="n">
        <v>38</v>
      </c>
      <c r="F1415" s="145" t="n">
        <v>96</v>
      </c>
      <c r="G1415" s="146" t="s">
        <v>236</v>
      </c>
    </row>
    <row r="1416" customFormat="false" ht="15.75" hidden="false" customHeight="true" outlineLevel="0" collapsed="false">
      <c r="A1416" s="144" t="s">
        <v>2335</v>
      </c>
      <c r="B1416" s="144" t="s">
        <v>2336</v>
      </c>
      <c r="C1416" s="144"/>
      <c r="D1416" s="146" t="s">
        <v>2336</v>
      </c>
      <c r="E1416" s="145" t="n">
        <v>1201</v>
      </c>
      <c r="F1416" s="145" t="n">
        <v>1731</v>
      </c>
      <c r="G1416" s="146" t="s">
        <v>236</v>
      </c>
    </row>
    <row r="1417" customFormat="false" ht="15.75" hidden="false" customHeight="true" outlineLevel="0" collapsed="false">
      <c r="A1417" s="144" t="s">
        <v>2337</v>
      </c>
      <c r="B1417" s="144"/>
      <c r="C1417" s="144" t="s">
        <v>630</v>
      </c>
      <c r="D1417" s="146" t="s">
        <v>630</v>
      </c>
      <c r="E1417" s="145" t="n">
        <v>38</v>
      </c>
      <c r="F1417" s="145" t="n">
        <v>96</v>
      </c>
      <c r="G1417" s="146" t="s">
        <v>236</v>
      </c>
    </row>
    <row r="1418" customFormat="false" ht="15.75" hidden="false" customHeight="true" outlineLevel="0" collapsed="false">
      <c r="A1418" s="144" t="s">
        <v>2338</v>
      </c>
      <c r="B1418" s="144"/>
      <c r="C1418" s="144" t="s">
        <v>630</v>
      </c>
      <c r="D1418" s="146" t="s">
        <v>630</v>
      </c>
      <c r="E1418" s="145" t="n">
        <v>38</v>
      </c>
      <c r="F1418" s="145" t="n">
        <v>96</v>
      </c>
      <c r="G1418" s="146" t="s">
        <v>236</v>
      </c>
    </row>
    <row r="1419" customFormat="false" ht="15.75" hidden="false" customHeight="true" outlineLevel="0" collapsed="false">
      <c r="A1419" s="144" t="s">
        <v>2339</v>
      </c>
      <c r="B1419" s="144"/>
      <c r="C1419" s="144" t="s">
        <v>630</v>
      </c>
      <c r="D1419" s="146" t="s">
        <v>630</v>
      </c>
      <c r="E1419" s="145" t="n">
        <v>38</v>
      </c>
      <c r="F1419" s="145" t="n">
        <v>96</v>
      </c>
      <c r="G1419" s="146" t="s">
        <v>236</v>
      </c>
    </row>
    <row r="1420" customFormat="false" ht="15.75" hidden="false" customHeight="true" outlineLevel="0" collapsed="false">
      <c r="A1420" s="144" t="s">
        <v>2340</v>
      </c>
      <c r="B1420" s="144"/>
      <c r="C1420" s="144" t="s">
        <v>630</v>
      </c>
      <c r="D1420" s="146" t="s">
        <v>630</v>
      </c>
      <c r="E1420" s="145" t="n">
        <v>38</v>
      </c>
      <c r="F1420" s="145" t="n">
        <v>96</v>
      </c>
      <c r="G1420" s="146" t="s">
        <v>236</v>
      </c>
    </row>
    <row r="1421" customFormat="false" ht="15.75" hidden="false" customHeight="true" outlineLevel="0" collapsed="false">
      <c r="A1421" s="144" t="s">
        <v>2341</v>
      </c>
      <c r="B1421" s="144"/>
      <c r="C1421" s="144" t="s">
        <v>630</v>
      </c>
      <c r="D1421" s="146" t="s">
        <v>630</v>
      </c>
      <c r="E1421" s="145" t="n">
        <v>38</v>
      </c>
      <c r="F1421" s="145" t="n">
        <v>96</v>
      </c>
      <c r="G1421" s="146" t="s">
        <v>236</v>
      </c>
    </row>
    <row r="1422" customFormat="false" ht="15.75" hidden="false" customHeight="true" outlineLevel="0" collapsed="false">
      <c r="A1422" s="144" t="s">
        <v>2342</v>
      </c>
      <c r="B1422" s="144" t="s">
        <v>2336</v>
      </c>
      <c r="C1422" s="144"/>
      <c r="D1422" s="146" t="s">
        <v>2336</v>
      </c>
      <c r="E1422" s="145" t="n">
        <v>1201</v>
      </c>
      <c r="F1422" s="145" t="n">
        <v>1731</v>
      </c>
      <c r="G1422" s="146" t="s">
        <v>236</v>
      </c>
    </row>
    <row r="1423" customFormat="false" ht="15.75" hidden="false" customHeight="true" outlineLevel="0" collapsed="false">
      <c r="A1423" s="144" t="s">
        <v>2343</v>
      </c>
      <c r="B1423" s="144"/>
      <c r="C1423" s="144" t="s">
        <v>630</v>
      </c>
      <c r="D1423" s="146" t="s">
        <v>630</v>
      </c>
      <c r="E1423" s="145" t="n">
        <v>38</v>
      </c>
      <c r="F1423" s="145" t="n">
        <v>96</v>
      </c>
      <c r="G1423" s="146" t="s">
        <v>236</v>
      </c>
    </row>
    <row r="1424" customFormat="false" ht="15.75" hidden="false" customHeight="true" outlineLevel="0" collapsed="false">
      <c r="A1424" s="144" t="s">
        <v>2344</v>
      </c>
      <c r="B1424" s="144" t="s">
        <v>2345</v>
      </c>
      <c r="C1424" s="144"/>
      <c r="D1424" s="146" t="s">
        <v>2345</v>
      </c>
      <c r="E1424" s="145" t="n">
        <v>1364</v>
      </c>
      <c r="F1424" s="145" t="n">
        <v>2727</v>
      </c>
      <c r="G1424" s="146" t="s">
        <v>236</v>
      </c>
    </row>
    <row r="1425" customFormat="false" ht="15.75" hidden="false" customHeight="true" outlineLevel="0" collapsed="false">
      <c r="A1425" s="144" t="s">
        <v>2346</v>
      </c>
      <c r="B1425" s="144"/>
      <c r="C1425" s="144" t="s">
        <v>630</v>
      </c>
      <c r="D1425" s="146" t="s">
        <v>630</v>
      </c>
      <c r="E1425" s="145" t="n">
        <v>38</v>
      </c>
      <c r="F1425" s="145" t="n">
        <v>96</v>
      </c>
      <c r="G1425" s="146" t="s">
        <v>236</v>
      </c>
    </row>
    <row r="1426" customFormat="false" ht="15.75" hidden="false" customHeight="true" outlineLevel="0" collapsed="false">
      <c r="A1426" s="144" t="s">
        <v>2347</v>
      </c>
      <c r="B1426" s="144"/>
      <c r="C1426" s="144" t="s">
        <v>630</v>
      </c>
      <c r="D1426" s="146" t="s">
        <v>630</v>
      </c>
      <c r="E1426" s="145" t="n">
        <v>38</v>
      </c>
      <c r="F1426" s="145" t="n">
        <v>96</v>
      </c>
      <c r="G1426" s="146" t="s">
        <v>236</v>
      </c>
    </row>
    <row r="1427" customFormat="false" ht="15.75" hidden="false" customHeight="true" outlineLevel="0" collapsed="false">
      <c r="A1427" s="144" t="s">
        <v>2348</v>
      </c>
      <c r="B1427" s="144"/>
      <c r="C1427" s="144" t="s">
        <v>630</v>
      </c>
      <c r="D1427" s="146" t="s">
        <v>630</v>
      </c>
      <c r="E1427" s="145" t="n">
        <v>38</v>
      </c>
      <c r="F1427" s="145" t="n">
        <v>96</v>
      </c>
      <c r="G1427" s="146" t="s">
        <v>236</v>
      </c>
    </row>
    <row r="1428" customFormat="false" ht="15.75" hidden="false" customHeight="true" outlineLevel="0" collapsed="false">
      <c r="A1428" s="144" t="s">
        <v>2349</v>
      </c>
      <c r="B1428" s="144"/>
      <c r="C1428" s="144" t="s">
        <v>630</v>
      </c>
      <c r="D1428" s="146" t="s">
        <v>630</v>
      </c>
      <c r="E1428" s="145" t="n">
        <v>38</v>
      </c>
      <c r="F1428" s="145" t="n">
        <v>96</v>
      </c>
      <c r="G1428" s="146" t="s">
        <v>236</v>
      </c>
    </row>
    <row r="1429" customFormat="false" ht="15.75" hidden="false" customHeight="true" outlineLevel="0" collapsed="false">
      <c r="A1429" s="144" t="s">
        <v>2350</v>
      </c>
      <c r="B1429" s="144"/>
      <c r="C1429" s="144" t="s">
        <v>630</v>
      </c>
      <c r="D1429" s="146" t="s">
        <v>630</v>
      </c>
      <c r="E1429" s="145" t="n">
        <v>38</v>
      </c>
      <c r="F1429" s="145" t="n">
        <v>96</v>
      </c>
      <c r="G1429" s="146" t="s">
        <v>236</v>
      </c>
    </row>
    <row r="1430" customFormat="false" ht="15.75" hidden="false" customHeight="true" outlineLevel="0" collapsed="false">
      <c r="A1430" s="144" t="s">
        <v>2351</v>
      </c>
      <c r="B1430" s="144"/>
      <c r="C1430" s="144" t="s">
        <v>630</v>
      </c>
      <c r="D1430" s="146" t="s">
        <v>630</v>
      </c>
      <c r="E1430" s="145" t="n">
        <v>38</v>
      </c>
      <c r="F1430" s="145" t="n">
        <v>96</v>
      </c>
      <c r="G1430" s="146" t="s">
        <v>236</v>
      </c>
    </row>
    <row r="1431" customFormat="false" ht="15.75" hidden="false" customHeight="true" outlineLevel="0" collapsed="false">
      <c r="A1431" s="144" t="s">
        <v>2352</v>
      </c>
      <c r="B1431" s="144" t="s">
        <v>2353</v>
      </c>
      <c r="C1431" s="144"/>
      <c r="D1431" s="146" t="s">
        <v>2353</v>
      </c>
      <c r="E1431" s="145" t="n">
        <v>471</v>
      </c>
      <c r="F1431" s="145" t="n">
        <v>2685</v>
      </c>
      <c r="G1431" s="146" t="s">
        <v>236</v>
      </c>
    </row>
    <row r="1432" customFormat="false" ht="15.75" hidden="false" customHeight="true" outlineLevel="0" collapsed="false">
      <c r="A1432" s="144" t="s">
        <v>2354</v>
      </c>
      <c r="B1432" s="144"/>
      <c r="C1432" s="144" t="s">
        <v>630</v>
      </c>
      <c r="D1432" s="146" t="s">
        <v>630</v>
      </c>
      <c r="E1432" s="145" t="n">
        <v>38</v>
      </c>
      <c r="F1432" s="145" t="n">
        <v>96</v>
      </c>
      <c r="G1432" s="146" t="s">
        <v>236</v>
      </c>
    </row>
    <row r="1433" customFormat="false" ht="15.75" hidden="false" customHeight="true" outlineLevel="0" collapsed="false">
      <c r="A1433" s="144" t="s">
        <v>2355</v>
      </c>
      <c r="B1433" s="144"/>
      <c r="C1433" s="144" t="s">
        <v>630</v>
      </c>
      <c r="D1433" s="146" t="s">
        <v>630</v>
      </c>
      <c r="E1433" s="145" t="n">
        <v>38</v>
      </c>
      <c r="F1433" s="145" t="n">
        <v>96</v>
      </c>
      <c r="G1433" s="146" t="s">
        <v>236</v>
      </c>
    </row>
    <row r="1434" customFormat="false" ht="15.75" hidden="false" customHeight="true" outlineLevel="0" collapsed="false">
      <c r="A1434" s="144" t="s">
        <v>2356</v>
      </c>
      <c r="B1434" s="144"/>
      <c r="C1434" s="144" t="s">
        <v>630</v>
      </c>
      <c r="D1434" s="146" t="s">
        <v>630</v>
      </c>
      <c r="E1434" s="145" t="n">
        <v>38</v>
      </c>
      <c r="F1434" s="145" t="n">
        <v>96</v>
      </c>
      <c r="G1434" s="146" t="s">
        <v>236</v>
      </c>
    </row>
    <row r="1435" customFormat="false" ht="15.75" hidden="false" customHeight="true" outlineLevel="0" collapsed="false">
      <c r="A1435" s="144" t="s">
        <v>2357</v>
      </c>
      <c r="B1435" s="144"/>
      <c r="C1435" s="144" t="s">
        <v>630</v>
      </c>
      <c r="D1435" s="146" t="s">
        <v>630</v>
      </c>
      <c r="E1435" s="145" t="n">
        <v>38</v>
      </c>
      <c r="F1435" s="145" t="n">
        <v>96</v>
      </c>
      <c r="G1435" s="146" t="s">
        <v>236</v>
      </c>
    </row>
    <row r="1436" customFormat="false" ht="15.75" hidden="false" customHeight="true" outlineLevel="0" collapsed="false">
      <c r="A1436" s="144" t="s">
        <v>2358</v>
      </c>
      <c r="B1436" s="144"/>
      <c r="C1436" s="144" t="s">
        <v>714</v>
      </c>
      <c r="D1436" s="146" t="s">
        <v>714</v>
      </c>
      <c r="E1436" s="145" t="n">
        <v>5950</v>
      </c>
      <c r="F1436" s="145" t="n">
        <v>10539</v>
      </c>
      <c r="G1436" s="146" t="s">
        <v>236</v>
      </c>
    </row>
    <row r="1437" customFormat="false" ht="15.75" hidden="false" customHeight="true" outlineLevel="0" collapsed="false">
      <c r="A1437" s="144" t="s">
        <v>2359</v>
      </c>
      <c r="B1437" s="144"/>
      <c r="C1437" s="144" t="s">
        <v>630</v>
      </c>
      <c r="D1437" s="146" t="s">
        <v>630</v>
      </c>
      <c r="E1437" s="145" t="n">
        <v>38</v>
      </c>
      <c r="F1437" s="145" t="n">
        <v>96</v>
      </c>
      <c r="G1437" s="146" t="s">
        <v>236</v>
      </c>
    </row>
    <row r="1438" customFormat="false" ht="15.75" hidden="false" customHeight="true" outlineLevel="0" collapsed="false">
      <c r="A1438" s="144" t="s">
        <v>2360</v>
      </c>
      <c r="B1438" s="144"/>
      <c r="C1438" s="144" t="s">
        <v>630</v>
      </c>
      <c r="D1438" s="146" t="s">
        <v>630</v>
      </c>
      <c r="E1438" s="145" t="n">
        <v>38</v>
      </c>
      <c r="F1438" s="145" t="n">
        <v>96</v>
      </c>
      <c r="G1438" s="146" t="s">
        <v>236</v>
      </c>
    </row>
    <row r="1439" customFormat="false" ht="15.75" hidden="false" customHeight="true" outlineLevel="0" collapsed="false">
      <c r="A1439" s="144" t="s">
        <v>2361</v>
      </c>
      <c r="B1439" s="144"/>
      <c r="C1439" s="144" t="s">
        <v>630</v>
      </c>
      <c r="D1439" s="146" t="s">
        <v>630</v>
      </c>
      <c r="E1439" s="145" t="n">
        <v>38</v>
      </c>
      <c r="F1439" s="145" t="n">
        <v>96</v>
      </c>
      <c r="G1439" s="146" t="s">
        <v>236</v>
      </c>
    </row>
    <row r="1440" customFormat="false" ht="15.75" hidden="false" customHeight="true" outlineLevel="0" collapsed="false">
      <c r="A1440" s="144" t="s">
        <v>2362</v>
      </c>
      <c r="B1440" s="144"/>
      <c r="C1440" s="144" t="s">
        <v>630</v>
      </c>
      <c r="D1440" s="146" t="s">
        <v>630</v>
      </c>
      <c r="E1440" s="145" t="n">
        <v>38</v>
      </c>
      <c r="F1440" s="145" t="n">
        <v>96</v>
      </c>
      <c r="G1440" s="146" t="s">
        <v>236</v>
      </c>
    </row>
    <row r="1441" customFormat="false" ht="15.75" hidden="false" customHeight="true" outlineLevel="0" collapsed="false">
      <c r="A1441" s="144" t="s">
        <v>2363</v>
      </c>
      <c r="B1441" s="144"/>
      <c r="C1441" s="144" t="s">
        <v>630</v>
      </c>
      <c r="D1441" s="146" t="s">
        <v>630</v>
      </c>
      <c r="E1441" s="145" t="n">
        <v>38</v>
      </c>
      <c r="F1441" s="145" t="n">
        <v>96</v>
      </c>
      <c r="G1441" s="146" t="s">
        <v>236</v>
      </c>
    </row>
    <row r="1442" customFormat="false" ht="15.75" hidden="false" customHeight="true" outlineLevel="0" collapsed="false">
      <c r="A1442" s="144" t="s">
        <v>2364</v>
      </c>
      <c r="B1442" s="144"/>
      <c r="C1442" s="144" t="s">
        <v>714</v>
      </c>
      <c r="D1442" s="146" t="s">
        <v>714</v>
      </c>
      <c r="E1442" s="145" t="n">
        <v>5950</v>
      </c>
      <c r="F1442" s="145" t="n">
        <v>10539</v>
      </c>
      <c r="G1442" s="146" t="s">
        <v>236</v>
      </c>
    </row>
    <row r="1443" customFormat="false" ht="15.75" hidden="false" customHeight="true" outlineLevel="0" collapsed="false">
      <c r="A1443" s="144" t="s">
        <v>2365</v>
      </c>
      <c r="B1443" s="144"/>
      <c r="C1443" s="144" t="s">
        <v>630</v>
      </c>
      <c r="D1443" s="146" t="s">
        <v>630</v>
      </c>
      <c r="E1443" s="145" t="n">
        <v>38</v>
      </c>
      <c r="F1443" s="145" t="n">
        <v>96</v>
      </c>
      <c r="G1443" s="146" t="s">
        <v>236</v>
      </c>
    </row>
    <row r="1444" customFormat="false" ht="15.75" hidden="false" customHeight="true" outlineLevel="0" collapsed="false">
      <c r="A1444" s="144" t="s">
        <v>2366</v>
      </c>
      <c r="B1444" s="144"/>
      <c r="C1444" s="144" t="s">
        <v>630</v>
      </c>
      <c r="D1444" s="146" t="s">
        <v>630</v>
      </c>
      <c r="E1444" s="145" t="n">
        <v>38</v>
      </c>
      <c r="F1444" s="145" t="n">
        <v>96</v>
      </c>
      <c r="G1444" s="146" t="s">
        <v>236</v>
      </c>
    </row>
    <row r="1445" customFormat="false" ht="15.75" hidden="false" customHeight="true" outlineLevel="0" collapsed="false">
      <c r="A1445" s="144" t="s">
        <v>2367</v>
      </c>
      <c r="B1445" s="144"/>
      <c r="C1445" s="144" t="s">
        <v>714</v>
      </c>
      <c r="D1445" s="146" t="s">
        <v>714</v>
      </c>
      <c r="E1445" s="145" t="n">
        <v>5950</v>
      </c>
      <c r="F1445" s="145" t="n">
        <v>10539</v>
      </c>
      <c r="G1445" s="146" t="s">
        <v>236</v>
      </c>
    </row>
    <row r="1446" customFormat="false" ht="15.75" hidden="false" customHeight="true" outlineLevel="0" collapsed="false">
      <c r="A1446" s="144" t="s">
        <v>2368</v>
      </c>
      <c r="B1446" s="144"/>
      <c r="C1446" s="144" t="s">
        <v>630</v>
      </c>
      <c r="D1446" s="146" t="s">
        <v>630</v>
      </c>
      <c r="E1446" s="145" t="n">
        <v>38</v>
      </c>
      <c r="F1446" s="145" t="n">
        <v>96</v>
      </c>
      <c r="G1446" s="146" t="s">
        <v>236</v>
      </c>
    </row>
    <row r="1447" customFormat="false" ht="15.75" hidden="false" customHeight="true" outlineLevel="0" collapsed="false">
      <c r="A1447" s="144" t="s">
        <v>2369</v>
      </c>
      <c r="B1447" s="144"/>
      <c r="C1447" s="144" t="s">
        <v>630</v>
      </c>
      <c r="D1447" s="146" t="s">
        <v>630</v>
      </c>
      <c r="E1447" s="145" t="n">
        <v>38</v>
      </c>
      <c r="F1447" s="145" t="n">
        <v>96</v>
      </c>
      <c r="G1447" s="146" t="s">
        <v>236</v>
      </c>
    </row>
    <row r="1448" customFormat="false" ht="15.75" hidden="false" customHeight="true" outlineLevel="0" collapsed="false">
      <c r="A1448" s="144" t="s">
        <v>2370</v>
      </c>
      <c r="B1448" s="144"/>
      <c r="C1448" s="144" t="s">
        <v>714</v>
      </c>
      <c r="D1448" s="146" t="s">
        <v>714</v>
      </c>
      <c r="E1448" s="145" t="n">
        <v>5950</v>
      </c>
      <c r="F1448" s="145" t="n">
        <v>10539</v>
      </c>
      <c r="G1448" s="146" t="s">
        <v>236</v>
      </c>
    </row>
    <row r="1449" customFormat="false" ht="15.75" hidden="false" customHeight="true" outlineLevel="0" collapsed="false">
      <c r="A1449" s="144" t="s">
        <v>2371</v>
      </c>
      <c r="B1449" s="144"/>
      <c r="C1449" s="144" t="s">
        <v>630</v>
      </c>
      <c r="D1449" s="146" t="s">
        <v>630</v>
      </c>
      <c r="E1449" s="145" t="n">
        <v>38</v>
      </c>
      <c r="F1449" s="145" t="n">
        <v>96</v>
      </c>
      <c r="G1449" s="146" t="s">
        <v>236</v>
      </c>
    </row>
    <row r="1450" customFormat="false" ht="15.75" hidden="false" customHeight="true" outlineLevel="0" collapsed="false">
      <c r="A1450" s="144" t="s">
        <v>2372</v>
      </c>
      <c r="B1450" s="144"/>
      <c r="C1450" s="144" t="s">
        <v>630</v>
      </c>
      <c r="D1450" s="146" t="s">
        <v>630</v>
      </c>
      <c r="E1450" s="145" t="n">
        <v>38</v>
      </c>
      <c r="F1450" s="145" t="n">
        <v>96</v>
      </c>
      <c r="G1450" s="146" t="s">
        <v>236</v>
      </c>
    </row>
    <row r="1451" customFormat="false" ht="15.75" hidden="false" customHeight="true" outlineLevel="0" collapsed="false">
      <c r="A1451" s="144" t="s">
        <v>2373</v>
      </c>
      <c r="B1451" s="144"/>
      <c r="C1451" s="144" t="s">
        <v>714</v>
      </c>
      <c r="D1451" s="146" t="s">
        <v>714</v>
      </c>
      <c r="E1451" s="145" t="n">
        <v>5950</v>
      </c>
      <c r="F1451" s="145" t="n">
        <v>10539</v>
      </c>
      <c r="G1451" s="146" t="s">
        <v>236</v>
      </c>
    </row>
    <row r="1452" customFormat="false" ht="15.75" hidden="false" customHeight="true" outlineLevel="0" collapsed="false">
      <c r="A1452" s="144" t="s">
        <v>2374</v>
      </c>
      <c r="B1452" s="144"/>
      <c r="C1452" s="144" t="s">
        <v>630</v>
      </c>
      <c r="D1452" s="146" t="s">
        <v>630</v>
      </c>
      <c r="E1452" s="145" t="n">
        <v>38</v>
      </c>
      <c r="F1452" s="145" t="n">
        <v>96</v>
      </c>
      <c r="G1452" s="146" t="s">
        <v>236</v>
      </c>
    </row>
    <row r="1453" customFormat="false" ht="15.75" hidden="false" customHeight="true" outlineLevel="0" collapsed="false">
      <c r="A1453" s="144" t="s">
        <v>2375</v>
      </c>
      <c r="B1453" s="144"/>
      <c r="C1453" s="144" t="s">
        <v>630</v>
      </c>
      <c r="D1453" s="146" t="s">
        <v>630</v>
      </c>
      <c r="E1453" s="145" t="n">
        <v>38</v>
      </c>
      <c r="F1453" s="145" t="n">
        <v>96</v>
      </c>
      <c r="G1453" s="146" t="s">
        <v>236</v>
      </c>
    </row>
    <row r="1454" customFormat="false" ht="15.75" hidden="false" customHeight="true" outlineLevel="0" collapsed="false">
      <c r="A1454" s="144" t="s">
        <v>2376</v>
      </c>
      <c r="B1454" s="144"/>
      <c r="C1454" s="144" t="s">
        <v>630</v>
      </c>
      <c r="D1454" s="146" t="s">
        <v>630</v>
      </c>
      <c r="E1454" s="145" t="n">
        <v>38</v>
      </c>
      <c r="F1454" s="145" t="n">
        <v>96</v>
      </c>
      <c r="G1454" s="146" t="s">
        <v>236</v>
      </c>
    </row>
    <row r="1455" customFormat="false" ht="15.75" hidden="false" customHeight="true" outlineLevel="0" collapsed="false">
      <c r="A1455" s="144" t="s">
        <v>2377</v>
      </c>
      <c r="B1455" s="144"/>
      <c r="C1455" s="144" t="s">
        <v>630</v>
      </c>
      <c r="D1455" s="146" t="s">
        <v>630</v>
      </c>
      <c r="E1455" s="145" t="n">
        <v>38</v>
      </c>
      <c r="F1455" s="145" t="n">
        <v>96</v>
      </c>
      <c r="G1455" s="146" t="s">
        <v>236</v>
      </c>
    </row>
    <row r="1456" customFormat="false" ht="15.75" hidden="false" customHeight="true" outlineLevel="0" collapsed="false">
      <c r="A1456" s="144" t="s">
        <v>2378</v>
      </c>
      <c r="B1456" s="144"/>
      <c r="C1456" s="144" t="s">
        <v>630</v>
      </c>
      <c r="D1456" s="146" t="s">
        <v>630</v>
      </c>
      <c r="E1456" s="145" t="n">
        <v>38</v>
      </c>
      <c r="F1456" s="145" t="n">
        <v>96</v>
      </c>
      <c r="G1456" s="146" t="s">
        <v>236</v>
      </c>
    </row>
    <row r="1457" customFormat="false" ht="15.75" hidden="false" customHeight="true" outlineLevel="0" collapsed="false">
      <c r="A1457" s="144" t="s">
        <v>2379</v>
      </c>
      <c r="B1457" s="144"/>
      <c r="C1457" s="144" t="s">
        <v>630</v>
      </c>
      <c r="D1457" s="146" t="s">
        <v>630</v>
      </c>
      <c r="E1457" s="145" t="n">
        <v>38</v>
      </c>
      <c r="F1457" s="145" t="n">
        <v>96</v>
      </c>
      <c r="G1457" s="146" t="s">
        <v>236</v>
      </c>
    </row>
    <row r="1458" customFormat="false" ht="15.75" hidden="false" customHeight="true" outlineLevel="0" collapsed="false">
      <c r="A1458" s="144" t="s">
        <v>2380</v>
      </c>
      <c r="B1458" s="144"/>
      <c r="C1458" s="144" t="s">
        <v>630</v>
      </c>
      <c r="D1458" s="146" t="s">
        <v>630</v>
      </c>
      <c r="E1458" s="145" t="n">
        <v>38</v>
      </c>
      <c r="F1458" s="145" t="n">
        <v>96</v>
      </c>
      <c r="G1458" s="146" t="s">
        <v>236</v>
      </c>
    </row>
    <row r="1459" customFormat="false" ht="15.75" hidden="false" customHeight="true" outlineLevel="0" collapsed="false">
      <c r="A1459" s="144" t="s">
        <v>2381</v>
      </c>
      <c r="B1459" s="144"/>
      <c r="C1459" s="144" t="s">
        <v>714</v>
      </c>
      <c r="D1459" s="146" t="s">
        <v>714</v>
      </c>
      <c r="E1459" s="145" t="n">
        <v>5950</v>
      </c>
      <c r="F1459" s="145" t="n">
        <v>10539</v>
      </c>
      <c r="G1459" s="146" t="s">
        <v>236</v>
      </c>
    </row>
    <row r="1460" customFormat="false" ht="15.75" hidden="false" customHeight="true" outlineLevel="0" collapsed="false">
      <c r="A1460" s="144" t="s">
        <v>2382</v>
      </c>
      <c r="B1460" s="144"/>
      <c r="C1460" s="144" t="s">
        <v>630</v>
      </c>
      <c r="D1460" s="146" t="s">
        <v>630</v>
      </c>
      <c r="E1460" s="145" t="n">
        <v>38</v>
      </c>
      <c r="F1460" s="145" t="n">
        <v>96</v>
      </c>
      <c r="G1460" s="146" t="s">
        <v>236</v>
      </c>
    </row>
    <row r="1461" customFormat="false" ht="15.75" hidden="false" customHeight="true" outlineLevel="0" collapsed="false">
      <c r="A1461" s="144" t="s">
        <v>2383</v>
      </c>
      <c r="B1461" s="144"/>
      <c r="C1461" s="144" t="s">
        <v>630</v>
      </c>
      <c r="D1461" s="146" t="s">
        <v>630</v>
      </c>
      <c r="E1461" s="145" t="n">
        <v>38</v>
      </c>
      <c r="F1461" s="145" t="n">
        <v>96</v>
      </c>
      <c r="G1461" s="146" t="s">
        <v>236</v>
      </c>
    </row>
    <row r="1462" customFormat="false" ht="15.75" hidden="false" customHeight="true" outlineLevel="0" collapsed="false">
      <c r="A1462" s="144" t="s">
        <v>2384</v>
      </c>
      <c r="B1462" s="144"/>
      <c r="C1462" s="144" t="s">
        <v>714</v>
      </c>
      <c r="D1462" s="146" t="s">
        <v>714</v>
      </c>
      <c r="E1462" s="145" t="n">
        <v>5950</v>
      </c>
      <c r="F1462" s="145" t="n">
        <v>10539</v>
      </c>
      <c r="G1462" s="146" t="s">
        <v>236</v>
      </c>
    </row>
    <row r="1463" customFormat="false" ht="15.75" hidden="false" customHeight="true" outlineLevel="0" collapsed="false">
      <c r="A1463" s="144" t="s">
        <v>2385</v>
      </c>
      <c r="B1463" s="144"/>
      <c r="C1463" s="144" t="s">
        <v>714</v>
      </c>
      <c r="D1463" s="146" t="s">
        <v>714</v>
      </c>
      <c r="E1463" s="145" t="n">
        <v>5950</v>
      </c>
      <c r="F1463" s="145" t="n">
        <v>10539</v>
      </c>
      <c r="G1463" s="146" t="s">
        <v>236</v>
      </c>
    </row>
    <row r="1464" customFormat="false" ht="15.75" hidden="false" customHeight="true" outlineLevel="0" collapsed="false">
      <c r="A1464" s="144" t="s">
        <v>2386</v>
      </c>
      <c r="B1464" s="144"/>
      <c r="C1464" s="144" t="s">
        <v>630</v>
      </c>
      <c r="D1464" s="146" t="s">
        <v>630</v>
      </c>
      <c r="E1464" s="145" t="n">
        <v>38</v>
      </c>
      <c r="F1464" s="145" t="n">
        <v>96</v>
      </c>
      <c r="G1464" s="146" t="s">
        <v>236</v>
      </c>
    </row>
    <row r="1465" customFormat="false" ht="15.75" hidden="false" customHeight="true" outlineLevel="0" collapsed="false">
      <c r="A1465" s="144" t="s">
        <v>2387</v>
      </c>
      <c r="B1465" s="144"/>
      <c r="C1465" s="144" t="s">
        <v>714</v>
      </c>
      <c r="D1465" s="146" t="s">
        <v>714</v>
      </c>
      <c r="E1465" s="145" t="n">
        <v>5950</v>
      </c>
      <c r="F1465" s="145" t="n">
        <v>10539</v>
      </c>
      <c r="G1465" s="146" t="s">
        <v>236</v>
      </c>
    </row>
    <row r="1466" customFormat="false" ht="15.75" hidden="false" customHeight="true" outlineLevel="0" collapsed="false">
      <c r="A1466" s="144" t="s">
        <v>2388</v>
      </c>
      <c r="B1466" s="144"/>
      <c r="C1466" s="144" t="s">
        <v>630</v>
      </c>
      <c r="D1466" s="146" t="s">
        <v>630</v>
      </c>
      <c r="E1466" s="145" t="n">
        <v>38</v>
      </c>
      <c r="F1466" s="145" t="n">
        <v>96</v>
      </c>
      <c r="G1466" s="146" t="s">
        <v>236</v>
      </c>
    </row>
    <row r="1467" customFormat="false" ht="15.75" hidden="false" customHeight="true" outlineLevel="0" collapsed="false">
      <c r="A1467" s="144" t="s">
        <v>2389</v>
      </c>
      <c r="B1467" s="144"/>
      <c r="C1467" s="144" t="s">
        <v>630</v>
      </c>
      <c r="D1467" s="146" t="s">
        <v>630</v>
      </c>
      <c r="E1467" s="145" t="n">
        <v>38</v>
      </c>
      <c r="F1467" s="145" t="n">
        <v>96</v>
      </c>
      <c r="G1467" s="146" t="s">
        <v>236</v>
      </c>
    </row>
    <row r="1468" customFormat="false" ht="15.75" hidden="false" customHeight="true" outlineLevel="0" collapsed="false">
      <c r="A1468" s="144" t="s">
        <v>2390</v>
      </c>
      <c r="B1468" s="144"/>
      <c r="C1468" s="144" t="s">
        <v>630</v>
      </c>
      <c r="D1468" s="146" t="s">
        <v>630</v>
      </c>
      <c r="E1468" s="145" t="n">
        <v>38</v>
      </c>
      <c r="F1468" s="145" t="n">
        <v>96</v>
      </c>
      <c r="G1468" s="146" t="s">
        <v>236</v>
      </c>
    </row>
    <row r="1469" customFormat="false" ht="15.75" hidden="false" customHeight="true" outlineLevel="0" collapsed="false">
      <c r="A1469" s="144" t="s">
        <v>2391</v>
      </c>
      <c r="B1469" s="144"/>
      <c r="C1469" s="144" t="s">
        <v>630</v>
      </c>
      <c r="D1469" s="146" t="s">
        <v>630</v>
      </c>
      <c r="E1469" s="145" t="n">
        <v>38</v>
      </c>
      <c r="F1469" s="145" t="n">
        <v>96</v>
      </c>
      <c r="G1469" s="146" t="s">
        <v>236</v>
      </c>
    </row>
    <row r="1470" customFormat="false" ht="15.75" hidden="false" customHeight="true" outlineLevel="0" collapsed="false">
      <c r="A1470" s="144" t="s">
        <v>2392</v>
      </c>
      <c r="B1470" s="144"/>
      <c r="C1470" s="144" t="s">
        <v>630</v>
      </c>
      <c r="D1470" s="146" t="s">
        <v>630</v>
      </c>
      <c r="E1470" s="145" t="n">
        <v>38</v>
      </c>
      <c r="F1470" s="145" t="n">
        <v>96</v>
      </c>
      <c r="G1470" s="146" t="s">
        <v>236</v>
      </c>
    </row>
    <row r="1471" customFormat="false" ht="15.75" hidden="false" customHeight="true" outlineLevel="0" collapsed="false">
      <c r="A1471" s="144" t="s">
        <v>2393</v>
      </c>
      <c r="B1471" s="144"/>
      <c r="C1471" s="144" t="s">
        <v>630</v>
      </c>
      <c r="D1471" s="146" t="s">
        <v>630</v>
      </c>
      <c r="E1471" s="145" t="n">
        <v>38</v>
      </c>
      <c r="F1471" s="145" t="n">
        <v>96</v>
      </c>
      <c r="G1471" s="146" t="s">
        <v>236</v>
      </c>
    </row>
    <row r="1472" customFormat="false" ht="15.75" hidden="false" customHeight="true" outlineLevel="0" collapsed="false">
      <c r="A1472" s="144" t="s">
        <v>2394</v>
      </c>
      <c r="B1472" s="144" t="s">
        <v>554</v>
      </c>
      <c r="C1472" s="144"/>
      <c r="D1472" s="146" t="s">
        <v>554</v>
      </c>
      <c r="E1472" s="145" t="n">
        <v>500</v>
      </c>
      <c r="F1472" s="145" t="n">
        <v>1000</v>
      </c>
      <c r="G1472" s="146" t="s">
        <v>236</v>
      </c>
    </row>
    <row r="1473" customFormat="false" ht="15.75" hidden="false" customHeight="true" outlineLevel="0" collapsed="false">
      <c r="A1473" s="144" t="s">
        <v>2395</v>
      </c>
      <c r="B1473" s="144"/>
      <c r="C1473" s="144" t="s">
        <v>630</v>
      </c>
      <c r="D1473" s="146" t="s">
        <v>630</v>
      </c>
      <c r="E1473" s="145" t="n">
        <v>38</v>
      </c>
      <c r="F1473" s="145" t="n">
        <v>96</v>
      </c>
      <c r="G1473" s="146" t="s">
        <v>236</v>
      </c>
    </row>
    <row r="1474" customFormat="false" ht="15.75" hidden="false" customHeight="true" outlineLevel="0" collapsed="false">
      <c r="A1474" s="144" t="s">
        <v>2396</v>
      </c>
      <c r="B1474" s="144"/>
      <c r="C1474" s="144" t="s">
        <v>630</v>
      </c>
      <c r="D1474" s="146" t="s">
        <v>630</v>
      </c>
      <c r="E1474" s="145" t="n">
        <v>38</v>
      </c>
      <c r="F1474" s="145" t="n">
        <v>96</v>
      </c>
      <c r="G1474" s="146" t="s">
        <v>236</v>
      </c>
    </row>
    <row r="1475" customFormat="false" ht="15.75" hidden="false" customHeight="true" outlineLevel="0" collapsed="false">
      <c r="A1475" s="144" t="s">
        <v>2397</v>
      </c>
      <c r="B1475" s="144"/>
      <c r="C1475" s="144" t="s">
        <v>714</v>
      </c>
      <c r="D1475" s="146" t="s">
        <v>714</v>
      </c>
      <c r="E1475" s="145" t="n">
        <v>5950</v>
      </c>
      <c r="F1475" s="145" t="n">
        <v>10539</v>
      </c>
      <c r="G1475" s="146" t="s">
        <v>236</v>
      </c>
    </row>
    <row r="1476" customFormat="false" ht="15.75" hidden="false" customHeight="true" outlineLevel="0" collapsed="false">
      <c r="A1476" s="144" t="s">
        <v>2398</v>
      </c>
      <c r="B1476" s="144"/>
      <c r="C1476" s="144" t="s">
        <v>630</v>
      </c>
      <c r="D1476" s="146" t="s">
        <v>630</v>
      </c>
      <c r="E1476" s="145" t="n">
        <v>38</v>
      </c>
      <c r="F1476" s="145" t="n">
        <v>96</v>
      </c>
      <c r="G1476" s="146" t="s">
        <v>236</v>
      </c>
    </row>
    <row r="1477" customFormat="false" ht="15.75" hidden="false" customHeight="true" outlineLevel="0" collapsed="false">
      <c r="A1477" s="144" t="s">
        <v>2399</v>
      </c>
      <c r="B1477" s="144"/>
      <c r="C1477" s="144" t="s">
        <v>630</v>
      </c>
      <c r="D1477" s="146" t="s">
        <v>630</v>
      </c>
      <c r="E1477" s="145" t="n">
        <v>38</v>
      </c>
      <c r="F1477" s="145" t="n">
        <v>96</v>
      </c>
      <c r="G1477" s="146" t="s">
        <v>236</v>
      </c>
    </row>
    <row r="1478" customFormat="false" ht="15.75" hidden="false" customHeight="true" outlineLevel="0" collapsed="false">
      <c r="A1478" s="144" t="s">
        <v>2400</v>
      </c>
      <c r="B1478" s="144" t="s">
        <v>2401</v>
      </c>
      <c r="C1478" s="144"/>
      <c r="D1478" s="146" t="s">
        <v>2401</v>
      </c>
      <c r="E1478" s="145" t="n">
        <v>788</v>
      </c>
      <c r="F1478" s="145" t="n">
        <v>929</v>
      </c>
      <c r="G1478" s="146" t="s">
        <v>236</v>
      </c>
    </row>
    <row r="1479" customFormat="false" ht="15.75" hidden="false" customHeight="true" outlineLevel="0" collapsed="false">
      <c r="A1479" s="144" t="s">
        <v>2402</v>
      </c>
      <c r="B1479" s="144"/>
      <c r="C1479" s="144" t="s">
        <v>630</v>
      </c>
      <c r="D1479" s="146" t="s">
        <v>630</v>
      </c>
      <c r="E1479" s="145" t="n">
        <v>38</v>
      </c>
      <c r="F1479" s="145" t="n">
        <v>96</v>
      </c>
      <c r="G1479" s="146" t="s">
        <v>236</v>
      </c>
    </row>
    <row r="1480" customFormat="false" ht="15.75" hidden="false" customHeight="true" outlineLevel="0" collapsed="false">
      <c r="A1480" s="144" t="s">
        <v>2403</v>
      </c>
      <c r="B1480" s="144"/>
      <c r="C1480" s="144" t="s">
        <v>714</v>
      </c>
      <c r="D1480" s="146" t="s">
        <v>714</v>
      </c>
      <c r="E1480" s="145" t="n">
        <v>5950</v>
      </c>
      <c r="F1480" s="145" t="n">
        <v>10539</v>
      </c>
      <c r="G1480" s="146" t="s">
        <v>236</v>
      </c>
    </row>
    <row r="1481" customFormat="false" ht="15.75" hidden="false" customHeight="true" outlineLevel="0" collapsed="false">
      <c r="A1481" s="144" t="s">
        <v>2404</v>
      </c>
      <c r="B1481" s="144"/>
      <c r="C1481" s="144" t="s">
        <v>630</v>
      </c>
      <c r="D1481" s="146" t="s">
        <v>630</v>
      </c>
      <c r="E1481" s="145" t="n">
        <v>38</v>
      </c>
      <c r="F1481" s="145" t="n">
        <v>96</v>
      </c>
      <c r="G1481" s="146" t="s">
        <v>236</v>
      </c>
    </row>
    <row r="1482" customFormat="false" ht="15.75" hidden="false" customHeight="true" outlineLevel="0" collapsed="false">
      <c r="A1482" s="144" t="s">
        <v>2405</v>
      </c>
      <c r="B1482" s="144"/>
      <c r="C1482" s="144" t="s">
        <v>630</v>
      </c>
      <c r="D1482" s="146" t="s">
        <v>630</v>
      </c>
      <c r="E1482" s="145" t="n">
        <v>38</v>
      </c>
      <c r="F1482" s="145" t="n">
        <v>96</v>
      </c>
      <c r="G1482" s="146" t="s">
        <v>236</v>
      </c>
    </row>
    <row r="1483" customFormat="false" ht="15.75" hidden="false" customHeight="true" outlineLevel="0" collapsed="false">
      <c r="A1483" s="144" t="s">
        <v>2406</v>
      </c>
      <c r="B1483" s="144"/>
      <c r="C1483" s="144" t="s">
        <v>630</v>
      </c>
      <c r="D1483" s="146" t="s">
        <v>630</v>
      </c>
      <c r="E1483" s="145" t="n">
        <v>38</v>
      </c>
      <c r="F1483" s="145" t="n">
        <v>96</v>
      </c>
      <c r="G1483" s="146" t="s">
        <v>236</v>
      </c>
    </row>
    <row r="1484" customFormat="false" ht="15.75" hidden="false" customHeight="true" outlineLevel="0" collapsed="false">
      <c r="A1484" s="144" t="s">
        <v>2407</v>
      </c>
      <c r="B1484" s="144"/>
      <c r="C1484" s="144" t="s">
        <v>630</v>
      </c>
      <c r="D1484" s="146" t="s">
        <v>630</v>
      </c>
      <c r="E1484" s="145" t="n">
        <v>38</v>
      </c>
      <c r="F1484" s="145" t="n">
        <v>96</v>
      </c>
      <c r="G1484" s="146" t="s">
        <v>236</v>
      </c>
    </row>
    <row r="1485" customFormat="false" ht="15.75" hidden="false" customHeight="true" outlineLevel="0" collapsed="false">
      <c r="A1485" s="144" t="s">
        <v>2408</v>
      </c>
      <c r="B1485" s="144"/>
      <c r="C1485" s="144" t="s">
        <v>714</v>
      </c>
      <c r="D1485" s="146" t="s">
        <v>714</v>
      </c>
      <c r="E1485" s="145" t="n">
        <v>5950</v>
      </c>
      <c r="F1485" s="145" t="n">
        <v>10539</v>
      </c>
      <c r="G1485" s="146" t="s">
        <v>236</v>
      </c>
    </row>
    <row r="1486" customFormat="false" ht="15.75" hidden="false" customHeight="true" outlineLevel="0" collapsed="false">
      <c r="A1486" s="144" t="s">
        <v>2409</v>
      </c>
      <c r="B1486" s="144" t="s">
        <v>802</v>
      </c>
      <c r="C1486" s="144"/>
      <c r="D1486" s="146" t="s">
        <v>802</v>
      </c>
      <c r="E1486" s="145" t="n">
        <v>63</v>
      </c>
      <c r="F1486" s="145" t="n">
        <v>63</v>
      </c>
      <c r="G1486" s="146" t="s">
        <v>236</v>
      </c>
    </row>
    <row r="1487" customFormat="false" ht="15.75" hidden="false" customHeight="true" outlineLevel="0" collapsed="false">
      <c r="A1487" s="144" t="s">
        <v>2410</v>
      </c>
      <c r="B1487" s="144"/>
      <c r="C1487" s="144" t="s">
        <v>1417</v>
      </c>
      <c r="D1487" s="146" t="s">
        <v>1417</v>
      </c>
      <c r="E1487" s="145" t="n">
        <v>1155</v>
      </c>
      <c r="F1487" s="145" t="n">
        <v>1575</v>
      </c>
      <c r="G1487" s="146" t="s">
        <v>236</v>
      </c>
    </row>
    <row r="1488" customFormat="false" ht="15.75" hidden="false" customHeight="true" outlineLevel="0" collapsed="false">
      <c r="A1488" s="144" t="s">
        <v>2411</v>
      </c>
      <c r="B1488" s="144"/>
      <c r="C1488" s="144" t="s">
        <v>714</v>
      </c>
      <c r="D1488" s="146" t="s">
        <v>714</v>
      </c>
      <c r="E1488" s="145" t="n">
        <v>5950</v>
      </c>
      <c r="F1488" s="145" t="n">
        <v>10539</v>
      </c>
      <c r="G1488" s="146" t="s">
        <v>236</v>
      </c>
    </row>
    <row r="1489" customFormat="false" ht="15.75" hidden="false" customHeight="true" outlineLevel="0" collapsed="false">
      <c r="A1489" s="144" t="s">
        <v>2412</v>
      </c>
      <c r="B1489" s="144"/>
      <c r="C1489" s="144" t="s">
        <v>630</v>
      </c>
      <c r="D1489" s="146" t="s">
        <v>630</v>
      </c>
      <c r="E1489" s="145" t="n">
        <v>38</v>
      </c>
      <c r="F1489" s="145" t="n">
        <v>96</v>
      </c>
      <c r="G1489" s="146" t="s">
        <v>236</v>
      </c>
    </row>
    <row r="1490" customFormat="false" ht="15.75" hidden="false" customHeight="true" outlineLevel="0" collapsed="false">
      <c r="A1490" s="144" t="s">
        <v>2413</v>
      </c>
      <c r="B1490" s="144"/>
      <c r="C1490" s="144" t="s">
        <v>630</v>
      </c>
      <c r="D1490" s="146" t="s">
        <v>630</v>
      </c>
      <c r="E1490" s="145" t="n">
        <v>38</v>
      </c>
      <c r="F1490" s="145" t="n">
        <v>96</v>
      </c>
      <c r="G1490" s="146" t="s">
        <v>236</v>
      </c>
    </row>
    <row r="1491" customFormat="false" ht="15.75" hidden="false" customHeight="true" outlineLevel="0" collapsed="false">
      <c r="A1491" s="144" t="s">
        <v>2414</v>
      </c>
      <c r="B1491" s="144"/>
      <c r="C1491" s="144" t="s">
        <v>714</v>
      </c>
      <c r="D1491" s="146" t="s">
        <v>714</v>
      </c>
      <c r="E1491" s="145" t="n">
        <v>5950</v>
      </c>
      <c r="F1491" s="145" t="n">
        <v>10539</v>
      </c>
      <c r="G1491" s="146" t="s">
        <v>236</v>
      </c>
    </row>
    <row r="1492" customFormat="false" ht="15.75" hidden="false" customHeight="true" outlineLevel="0" collapsed="false">
      <c r="A1492" s="144" t="s">
        <v>2415</v>
      </c>
      <c r="B1492" s="144"/>
      <c r="C1492" s="144" t="s">
        <v>630</v>
      </c>
      <c r="D1492" s="146" t="s">
        <v>630</v>
      </c>
      <c r="E1492" s="145" t="n">
        <v>38</v>
      </c>
      <c r="F1492" s="145" t="n">
        <v>96</v>
      </c>
      <c r="G1492" s="146" t="s">
        <v>236</v>
      </c>
    </row>
    <row r="1493" customFormat="false" ht="15.75" hidden="false" customHeight="true" outlineLevel="0" collapsed="false">
      <c r="A1493" s="144" t="s">
        <v>2416</v>
      </c>
      <c r="B1493" s="144"/>
      <c r="C1493" s="144" t="s">
        <v>630</v>
      </c>
      <c r="D1493" s="146" t="s">
        <v>630</v>
      </c>
      <c r="E1493" s="145" t="n">
        <v>38</v>
      </c>
      <c r="F1493" s="145" t="n">
        <v>96</v>
      </c>
      <c r="G1493" s="146" t="s">
        <v>236</v>
      </c>
    </row>
    <row r="1494" customFormat="false" ht="15.75" hidden="false" customHeight="true" outlineLevel="0" collapsed="false">
      <c r="A1494" s="144" t="s">
        <v>2417</v>
      </c>
      <c r="B1494" s="144" t="s">
        <v>2418</v>
      </c>
      <c r="C1494" s="144"/>
      <c r="D1494" s="146" t="s">
        <v>2418</v>
      </c>
      <c r="E1494" s="145" t="n">
        <v>277</v>
      </c>
      <c r="F1494" s="145" t="n">
        <v>3180</v>
      </c>
      <c r="G1494" s="146" t="s">
        <v>236</v>
      </c>
    </row>
    <row r="1495" customFormat="false" ht="15.75" hidden="false" customHeight="true" outlineLevel="0" collapsed="false">
      <c r="A1495" s="144" t="s">
        <v>2419</v>
      </c>
      <c r="B1495" s="144"/>
      <c r="C1495" s="144" t="s">
        <v>630</v>
      </c>
      <c r="D1495" s="146" t="s">
        <v>630</v>
      </c>
      <c r="E1495" s="145" t="n">
        <v>38</v>
      </c>
      <c r="F1495" s="145" t="n">
        <v>96</v>
      </c>
      <c r="G1495" s="146" t="s">
        <v>236</v>
      </c>
    </row>
    <row r="1496" customFormat="false" ht="15.75" hidden="false" customHeight="true" outlineLevel="0" collapsed="false">
      <c r="A1496" s="144" t="s">
        <v>2420</v>
      </c>
      <c r="B1496" s="144"/>
      <c r="C1496" s="144" t="s">
        <v>630</v>
      </c>
      <c r="D1496" s="146" t="s">
        <v>630</v>
      </c>
      <c r="E1496" s="145" t="n">
        <v>38</v>
      </c>
      <c r="F1496" s="145" t="n">
        <v>96</v>
      </c>
      <c r="G1496" s="146" t="s">
        <v>236</v>
      </c>
    </row>
    <row r="1497" customFormat="false" ht="15.75" hidden="false" customHeight="true" outlineLevel="0" collapsed="false">
      <c r="A1497" s="144" t="s">
        <v>2421</v>
      </c>
      <c r="B1497" s="144"/>
      <c r="C1497" s="144" t="s">
        <v>630</v>
      </c>
      <c r="D1497" s="146" t="s">
        <v>630</v>
      </c>
      <c r="E1497" s="145" t="n">
        <v>38</v>
      </c>
      <c r="F1497" s="145" t="n">
        <v>96</v>
      </c>
      <c r="G1497" s="146" t="s">
        <v>236</v>
      </c>
    </row>
    <row r="1498" customFormat="false" ht="15.75" hidden="false" customHeight="true" outlineLevel="0" collapsed="false">
      <c r="A1498" s="144" t="s">
        <v>2422</v>
      </c>
      <c r="B1498" s="144"/>
      <c r="C1498" s="144" t="s">
        <v>630</v>
      </c>
      <c r="D1498" s="146" t="s">
        <v>630</v>
      </c>
      <c r="E1498" s="145" t="n">
        <v>38</v>
      </c>
      <c r="F1498" s="145" t="n">
        <v>96</v>
      </c>
      <c r="G1498" s="146" t="s">
        <v>236</v>
      </c>
    </row>
    <row r="1499" customFormat="false" ht="15.75" hidden="false" customHeight="true" outlineLevel="0" collapsed="false">
      <c r="A1499" s="144" t="s">
        <v>2423</v>
      </c>
      <c r="B1499" s="144"/>
      <c r="C1499" s="144" t="s">
        <v>714</v>
      </c>
      <c r="D1499" s="146" t="s">
        <v>714</v>
      </c>
      <c r="E1499" s="145" t="n">
        <v>5950</v>
      </c>
      <c r="F1499" s="145" t="n">
        <v>10539</v>
      </c>
      <c r="G1499" s="146" t="s">
        <v>236</v>
      </c>
    </row>
    <row r="1500" customFormat="false" ht="15.75" hidden="false" customHeight="true" outlineLevel="0" collapsed="false">
      <c r="A1500" s="144" t="s">
        <v>2424</v>
      </c>
      <c r="B1500" s="144"/>
      <c r="C1500" s="144" t="s">
        <v>714</v>
      </c>
      <c r="D1500" s="146" t="s">
        <v>714</v>
      </c>
      <c r="E1500" s="145" t="n">
        <v>5950</v>
      </c>
      <c r="F1500" s="145" t="n">
        <v>10539</v>
      </c>
      <c r="G1500" s="146" t="s">
        <v>236</v>
      </c>
    </row>
    <row r="1501" customFormat="false" ht="15.75" hidden="false" customHeight="true" outlineLevel="0" collapsed="false">
      <c r="A1501" s="144" t="s">
        <v>2425</v>
      </c>
      <c r="B1501" s="144"/>
      <c r="C1501" s="144" t="s">
        <v>1417</v>
      </c>
      <c r="D1501" s="146" t="s">
        <v>1417</v>
      </c>
      <c r="E1501" s="145" t="n">
        <v>1155</v>
      </c>
      <c r="F1501" s="145" t="n">
        <v>1575</v>
      </c>
      <c r="G1501" s="146" t="s">
        <v>236</v>
      </c>
    </row>
    <row r="1502" customFormat="false" ht="15.75" hidden="false" customHeight="true" outlineLevel="0" collapsed="false">
      <c r="A1502" s="144" t="s">
        <v>2426</v>
      </c>
      <c r="B1502" s="144" t="s">
        <v>2427</v>
      </c>
      <c r="C1502" s="144"/>
      <c r="D1502" s="146" t="s">
        <v>2427</v>
      </c>
      <c r="E1502" s="145" t="n">
        <v>16</v>
      </c>
      <c r="F1502" s="145" t="n">
        <v>16</v>
      </c>
      <c r="G1502" s="146" t="s">
        <v>236</v>
      </c>
    </row>
    <row r="1503" customFormat="false" ht="15.75" hidden="false" customHeight="true" outlineLevel="0" collapsed="false">
      <c r="A1503" s="144" t="s">
        <v>2428</v>
      </c>
      <c r="B1503" s="144"/>
      <c r="C1503" s="144" t="s">
        <v>630</v>
      </c>
      <c r="D1503" s="146" t="s">
        <v>630</v>
      </c>
      <c r="E1503" s="145" t="n">
        <v>38</v>
      </c>
      <c r="F1503" s="145" t="n">
        <v>96</v>
      </c>
      <c r="G1503" s="146" t="s">
        <v>236</v>
      </c>
    </row>
    <row r="1504" customFormat="false" ht="15.75" hidden="false" customHeight="true" outlineLevel="0" collapsed="false">
      <c r="A1504" s="144" t="s">
        <v>2429</v>
      </c>
      <c r="B1504" s="144"/>
      <c r="C1504" s="144" t="s">
        <v>630</v>
      </c>
      <c r="D1504" s="146" t="s">
        <v>630</v>
      </c>
      <c r="E1504" s="145" t="n">
        <v>38</v>
      </c>
      <c r="F1504" s="145" t="n">
        <v>96</v>
      </c>
      <c r="G1504" s="146" t="s">
        <v>236</v>
      </c>
    </row>
    <row r="1505" customFormat="false" ht="15.75" hidden="false" customHeight="true" outlineLevel="0" collapsed="false">
      <c r="A1505" s="144" t="s">
        <v>2430</v>
      </c>
      <c r="B1505" s="144"/>
      <c r="C1505" s="144" t="s">
        <v>630</v>
      </c>
      <c r="D1505" s="146" t="s">
        <v>630</v>
      </c>
      <c r="E1505" s="145" t="n">
        <v>38</v>
      </c>
      <c r="F1505" s="145" t="n">
        <v>96</v>
      </c>
      <c r="G1505" s="146" t="s">
        <v>236</v>
      </c>
    </row>
    <row r="1506" customFormat="false" ht="15.75" hidden="false" customHeight="true" outlineLevel="0" collapsed="false">
      <c r="A1506" s="144" t="s">
        <v>2431</v>
      </c>
      <c r="B1506" s="144"/>
      <c r="C1506" s="144" t="s">
        <v>630</v>
      </c>
      <c r="D1506" s="146" t="s">
        <v>630</v>
      </c>
      <c r="E1506" s="145" t="n">
        <v>38</v>
      </c>
      <c r="F1506" s="145" t="n">
        <v>96</v>
      </c>
      <c r="G1506" s="146" t="s">
        <v>236</v>
      </c>
    </row>
    <row r="1507" customFormat="false" ht="15.75" hidden="false" customHeight="true" outlineLevel="0" collapsed="false">
      <c r="A1507" s="144" t="s">
        <v>2432</v>
      </c>
      <c r="B1507" s="144"/>
      <c r="C1507" s="144" t="s">
        <v>714</v>
      </c>
      <c r="D1507" s="146" t="s">
        <v>714</v>
      </c>
      <c r="E1507" s="145" t="n">
        <v>5950</v>
      </c>
      <c r="F1507" s="145" t="n">
        <v>10539</v>
      </c>
      <c r="G1507" s="146" t="s">
        <v>236</v>
      </c>
    </row>
    <row r="1508" customFormat="false" ht="15.75" hidden="false" customHeight="true" outlineLevel="0" collapsed="false">
      <c r="A1508" s="144" t="s">
        <v>2433</v>
      </c>
      <c r="B1508" s="144"/>
      <c r="C1508" s="144" t="s">
        <v>630</v>
      </c>
      <c r="D1508" s="146" t="s">
        <v>630</v>
      </c>
      <c r="E1508" s="145" t="n">
        <v>38</v>
      </c>
      <c r="F1508" s="145" t="n">
        <v>96</v>
      </c>
      <c r="G1508" s="146" t="s">
        <v>236</v>
      </c>
    </row>
    <row r="1509" customFormat="false" ht="15.75" hidden="false" customHeight="true" outlineLevel="0" collapsed="false">
      <c r="A1509" s="144" t="s">
        <v>2434</v>
      </c>
      <c r="B1509" s="144"/>
      <c r="C1509" s="144" t="s">
        <v>630</v>
      </c>
      <c r="D1509" s="146" t="s">
        <v>630</v>
      </c>
      <c r="E1509" s="145" t="n">
        <v>38</v>
      </c>
      <c r="F1509" s="145" t="n">
        <v>96</v>
      </c>
      <c r="G1509" s="146" t="s">
        <v>236</v>
      </c>
    </row>
    <row r="1510" customFormat="false" ht="15.75" hidden="false" customHeight="true" outlineLevel="0" collapsed="false">
      <c r="A1510" s="144" t="s">
        <v>2435</v>
      </c>
      <c r="B1510" s="144"/>
      <c r="C1510" s="144" t="s">
        <v>630</v>
      </c>
      <c r="D1510" s="146" t="s">
        <v>630</v>
      </c>
      <c r="E1510" s="145" t="n">
        <v>38</v>
      </c>
      <c r="F1510" s="145" t="n">
        <v>96</v>
      </c>
      <c r="G1510" s="146" t="s">
        <v>236</v>
      </c>
    </row>
    <row r="1511" customFormat="false" ht="15.75" hidden="false" customHeight="true" outlineLevel="0" collapsed="false">
      <c r="A1511" s="144" t="s">
        <v>2436</v>
      </c>
      <c r="B1511" s="144"/>
      <c r="C1511" s="144" t="s">
        <v>630</v>
      </c>
      <c r="D1511" s="146" t="s">
        <v>630</v>
      </c>
      <c r="E1511" s="145" t="n">
        <v>38</v>
      </c>
      <c r="F1511" s="145" t="n">
        <v>96</v>
      </c>
      <c r="G1511" s="146" t="s">
        <v>236</v>
      </c>
    </row>
    <row r="1512" customFormat="false" ht="15.75" hidden="false" customHeight="true" outlineLevel="0" collapsed="false">
      <c r="A1512" s="144" t="s">
        <v>2437</v>
      </c>
      <c r="B1512" s="144"/>
      <c r="C1512" s="144" t="s">
        <v>630</v>
      </c>
      <c r="D1512" s="146" t="s">
        <v>630</v>
      </c>
      <c r="E1512" s="145" t="n">
        <v>38</v>
      </c>
      <c r="F1512" s="145" t="n">
        <v>96</v>
      </c>
      <c r="G1512" s="146" t="s">
        <v>236</v>
      </c>
    </row>
    <row r="1513" customFormat="false" ht="15.75" hidden="false" customHeight="true" outlineLevel="0" collapsed="false">
      <c r="A1513" s="144" t="s">
        <v>2438</v>
      </c>
      <c r="B1513" s="144"/>
      <c r="C1513" s="144" t="s">
        <v>630</v>
      </c>
      <c r="D1513" s="146" t="s">
        <v>630</v>
      </c>
      <c r="E1513" s="145" t="n">
        <v>38</v>
      </c>
      <c r="F1513" s="145" t="n">
        <v>96</v>
      </c>
      <c r="G1513" s="146" t="s">
        <v>236</v>
      </c>
    </row>
    <row r="1514" customFormat="false" ht="15.75" hidden="false" customHeight="true" outlineLevel="0" collapsed="false">
      <c r="A1514" s="144" t="s">
        <v>2439</v>
      </c>
      <c r="B1514" s="144"/>
      <c r="C1514" s="144" t="s">
        <v>630</v>
      </c>
      <c r="D1514" s="146" t="s">
        <v>630</v>
      </c>
      <c r="E1514" s="145" t="n">
        <v>38</v>
      </c>
      <c r="F1514" s="145" t="n">
        <v>96</v>
      </c>
      <c r="G1514" s="146" t="s">
        <v>236</v>
      </c>
    </row>
    <row r="1515" customFormat="false" ht="15.75" hidden="false" customHeight="true" outlineLevel="0" collapsed="false">
      <c r="A1515" s="144" t="s">
        <v>2440</v>
      </c>
      <c r="B1515" s="144"/>
      <c r="C1515" s="144" t="s">
        <v>630</v>
      </c>
      <c r="D1515" s="146" t="s">
        <v>630</v>
      </c>
      <c r="E1515" s="145" t="n">
        <v>38</v>
      </c>
      <c r="F1515" s="145" t="n">
        <v>96</v>
      </c>
      <c r="G1515" s="146" t="s">
        <v>236</v>
      </c>
    </row>
    <row r="1516" customFormat="false" ht="15.75" hidden="false" customHeight="true" outlineLevel="0" collapsed="false">
      <c r="A1516" s="144" t="s">
        <v>2441</v>
      </c>
      <c r="B1516" s="144"/>
      <c r="C1516" s="144" t="s">
        <v>630</v>
      </c>
      <c r="D1516" s="146" t="s">
        <v>630</v>
      </c>
      <c r="E1516" s="145" t="n">
        <v>38</v>
      </c>
      <c r="F1516" s="145" t="n">
        <v>96</v>
      </c>
      <c r="G1516" s="146" t="s">
        <v>236</v>
      </c>
    </row>
    <row r="1517" customFormat="false" ht="15.75" hidden="false" customHeight="true" outlineLevel="0" collapsed="false">
      <c r="A1517" s="144" t="s">
        <v>2442</v>
      </c>
      <c r="B1517" s="144"/>
      <c r="C1517" s="144" t="s">
        <v>630</v>
      </c>
      <c r="D1517" s="146" t="s">
        <v>630</v>
      </c>
      <c r="E1517" s="145" t="n">
        <v>38</v>
      </c>
      <c r="F1517" s="145" t="n">
        <v>96</v>
      </c>
      <c r="G1517" s="146" t="s">
        <v>236</v>
      </c>
    </row>
    <row r="1518" customFormat="false" ht="15.75" hidden="false" customHeight="true" outlineLevel="0" collapsed="false">
      <c r="A1518" s="144" t="s">
        <v>2443</v>
      </c>
      <c r="B1518" s="144"/>
      <c r="C1518" s="144" t="s">
        <v>630</v>
      </c>
      <c r="D1518" s="146" t="s">
        <v>630</v>
      </c>
      <c r="E1518" s="145" t="n">
        <v>38</v>
      </c>
      <c r="F1518" s="145" t="n">
        <v>96</v>
      </c>
      <c r="G1518" s="146" t="s">
        <v>236</v>
      </c>
    </row>
    <row r="1519" customFormat="false" ht="15.75" hidden="false" customHeight="true" outlineLevel="0" collapsed="false">
      <c r="A1519" s="144" t="s">
        <v>2444</v>
      </c>
      <c r="B1519" s="144"/>
      <c r="C1519" s="144" t="s">
        <v>714</v>
      </c>
      <c r="D1519" s="146" t="s">
        <v>714</v>
      </c>
      <c r="E1519" s="145" t="n">
        <v>5950</v>
      </c>
      <c r="F1519" s="145" t="n">
        <v>10539</v>
      </c>
      <c r="G1519" s="146" t="s">
        <v>236</v>
      </c>
    </row>
    <row r="1520" customFormat="false" ht="15.75" hidden="false" customHeight="true" outlineLevel="0" collapsed="false">
      <c r="A1520" s="144" t="s">
        <v>2445</v>
      </c>
      <c r="B1520" s="144"/>
      <c r="C1520" s="144" t="s">
        <v>630</v>
      </c>
      <c r="D1520" s="146" t="s">
        <v>630</v>
      </c>
      <c r="E1520" s="145" t="n">
        <v>38</v>
      </c>
      <c r="F1520" s="145" t="n">
        <v>96</v>
      </c>
      <c r="G1520" s="146" t="s">
        <v>236</v>
      </c>
    </row>
    <row r="1521" customFormat="false" ht="15.75" hidden="false" customHeight="true" outlineLevel="0" collapsed="false">
      <c r="A1521" s="144" t="s">
        <v>2446</v>
      </c>
      <c r="B1521" s="144" t="s">
        <v>2447</v>
      </c>
      <c r="C1521" s="144"/>
      <c r="D1521" s="146" t="s">
        <v>2447</v>
      </c>
      <c r="E1521" s="145" t="n">
        <v>21</v>
      </c>
      <c r="F1521" s="145" t="n">
        <v>21</v>
      </c>
      <c r="G1521" s="146" t="s">
        <v>236</v>
      </c>
    </row>
    <row r="1522" customFormat="false" ht="15.75" hidden="false" customHeight="true" outlineLevel="0" collapsed="false">
      <c r="A1522" s="144" t="s">
        <v>2448</v>
      </c>
      <c r="B1522" s="144"/>
      <c r="C1522" s="144" t="s">
        <v>630</v>
      </c>
      <c r="D1522" s="146" t="s">
        <v>630</v>
      </c>
      <c r="E1522" s="145" t="n">
        <v>38</v>
      </c>
      <c r="F1522" s="145" t="n">
        <v>96</v>
      </c>
      <c r="G1522" s="146" t="s">
        <v>236</v>
      </c>
    </row>
    <row r="1523" customFormat="false" ht="15.75" hidden="false" customHeight="true" outlineLevel="0" collapsed="false">
      <c r="A1523" s="144" t="s">
        <v>2449</v>
      </c>
      <c r="B1523" s="144"/>
      <c r="C1523" s="144" t="s">
        <v>630</v>
      </c>
      <c r="D1523" s="146" t="s">
        <v>630</v>
      </c>
      <c r="E1523" s="145" t="n">
        <v>38</v>
      </c>
      <c r="F1523" s="145" t="n">
        <v>96</v>
      </c>
      <c r="G1523" s="146" t="s">
        <v>236</v>
      </c>
    </row>
    <row r="1524" customFormat="false" ht="15.75" hidden="false" customHeight="true" outlineLevel="0" collapsed="false">
      <c r="A1524" s="144" t="s">
        <v>2450</v>
      </c>
      <c r="B1524" s="144"/>
      <c r="C1524" s="144" t="s">
        <v>630</v>
      </c>
      <c r="D1524" s="146" t="s">
        <v>630</v>
      </c>
      <c r="E1524" s="145" t="n">
        <v>38</v>
      </c>
      <c r="F1524" s="145" t="n">
        <v>96</v>
      </c>
      <c r="G1524" s="146" t="s">
        <v>236</v>
      </c>
    </row>
    <row r="1525" customFormat="false" ht="15.75" hidden="false" customHeight="true" outlineLevel="0" collapsed="false">
      <c r="A1525" s="144" t="s">
        <v>2451</v>
      </c>
      <c r="B1525" s="144"/>
      <c r="C1525" s="144" t="s">
        <v>630</v>
      </c>
      <c r="D1525" s="146" t="s">
        <v>630</v>
      </c>
      <c r="E1525" s="145" t="n">
        <v>38</v>
      </c>
      <c r="F1525" s="145" t="n">
        <v>96</v>
      </c>
      <c r="G1525" s="146" t="s">
        <v>236</v>
      </c>
    </row>
    <row r="1526" customFormat="false" ht="15.75" hidden="false" customHeight="true" outlineLevel="0" collapsed="false">
      <c r="A1526" s="144" t="s">
        <v>2452</v>
      </c>
      <c r="B1526" s="144"/>
      <c r="C1526" s="144" t="s">
        <v>714</v>
      </c>
      <c r="D1526" s="146" t="s">
        <v>714</v>
      </c>
      <c r="E1526" s="145" t="n">
        <v>5950</v>
      </c>
      <c r="F1526" s="145" t="n">
        <v>10539</v>
      </c>
      <c r="G1526" s="146" t="s">
        <v>236</v>
      </c>
    </row>
    <row r="1527" customFormat="false" ht="15.75" hidden="false" customHeight="true" outlineLevel="0" collapsed="false">
      <c r="A1527" s="144" t="s">
        <v>2453</v>
      </c>
      <c r="B1527" s="144"/>
      <c r="C1527" s="144" t="s">
        <v>630</v>
      </c>
      <c r="D1527" s="146" t="s">
        <v>630</v>
      </c>
      <c r="E1527" s="145" t="n">
        <v>38</v>
      </c>
      <c r="F1527" s="145" t="n">
        <v>96</v>
      </c>
      <c r="G1527" s="146" t="s">
        <v>236</v>
      </c>
    </row>
    <row r="1528" customFormat="false" ht="15.75" hidden="false" customHeight="true" outlineLevel="0" collapsed="false">
      <c r="A1528" s="144" t="s">
        <v>2454</v>
      </c>
      <c r="B1528" s="144"/>
      <c r="C1528" s="144" t="s">
        <v>714</v>
      </c>
      <c r="D1528" s="146" t="s">
        <v>714</v>
      </c>
      <c r="E1528" s="145" t="n">
        <v>5950</v>
      </c>
      <c r="F1528" s="145" t="n">
        <v>10539</v>
      </c>
      <c r="G1528" s="146" t="s">
        <v>236</v>
      </c>
    </row>
    <row r="1529" customFormat="false" ht="15.75" hidden="false" customHeight="true" outlineLevel="0" collapsed="false">
      <c r="A1529" s="144" t="s">
        <v>2455</v>
      </c>
      <c r="B1529" s="144"/>
      <c r="C1529" s="144" t="s">
        <v>714</v>
      </c>
      <c r="D1529" s="146" t="s">
        <v>714</v>
      </c>
      <c r="E1529" s="145" t="n">
        <v>5950</v>
      </c>
      <c r="F1529" s="145" t="n">
        <v>10539</v>
      </c>
      <c r="G1529" s="146" t="s">
        <v>236</v>
      </c>
    </row>
    <row r="1530" customFormat="false" ht="15.75" hidden="false" customHeight="true" outlineLevel="0" collapsed="false">
      <c r="A1530" s="144" t="s">
        <v>2456</v>
      </c>
      <c r="B1530" s="144"/>
      <c r="C1530" s="144" t="s">
        <v>630</v>
      </c>
      <c r="D1530" s="146" t="s">
        <v>630</v>
      </c>
      <c r="E1530" s="145" t="n">
        <v>38</v>
      </c>
      <c r="F1530" s="145" t="n">
        <v>96</v>
      </c>
      <c r="G1530" s="146" t="s">
        <v>236</v>
      </c>
    </row>
    <row r="1531" customFormat="false" ht="15.75" hidden="false" customHeight="true" outlineLevel="0" collapsed="false">
      <c r="A1531" s="144" t="s">
        <v>2457</v>
      </c>
      <c r="B1531" s="144"/>
      <c r="C1531" s="144" t="s">
        <v>630</v>
      </c>
      <c r="D1531" s="146" t="s">
        <v>630</v>
      </c>
      <c r="E1531" s="145" t="n">
        <v>38</v>
      </c>
      <c r="F1531" s="145" t="n">
        <v>96</v>
      </c>
      <c r="G1531" s="146" t="s">
        <v>236</v>
      </c>
    </row>
    <row r="1532" customFormat="false" ht="15.75" hidden="false" customHeight="true" outlineLevel="0" collapsed="false">
      <c r="A1532" s="144" t="s">
        <v>2458</v>
      </c>
      <c r="B1532" s="144"/>
      <c r="C1532" s="144" t="s">
        <v>630</v>
      </c>
      <c r="D1532" s="146" t="s">
        <v>630</v>
      </c>
      <c r="E1532" s="145" t="n">
        <v>38</v>
      </c>
      <c r="F1532" s="145" t="n">
        <v>96</v>
      </c>
      <c r="G1532" s="146" t="s">
        <v>236</v>
      </c>
    </row>
    <row r="1533" customFormat="false" ht="15.75" hidden="false" customHeight="true" outlineLevel="0" collapsed="false">
      <c r="A1533" s="144" t="s">
        <v>2459</v>
      </c>
      <c r="B1533" s="144"/>
      <c r="C1533" s="144" t="s">
        <v>630</v>
      </c>
      <c r="D1533" s="146" t="s">
        <v>630</v>
      </c>
      <c r="E1533" s="145" t="n">
        <v>38</v>
      </c>
      <c r="F1533" s="145" t="n">
        <v>96</v>
      </c>
      <c r="G1533" s="146" t="s">
        <v>236</v>
      </c>
    </row>
    <row r="1534" customFormat="false" ht="15.75" hidden="false" customHeight="true" outlineLevel="0" collapsed="false">
      <c r="A1534" s="144" t="s">
        <v>2460</v>
      </c>
      <c r="B1534" s="144"/>
      <c r="C1534" s="144" t="s">
        <v>630</v>
      </c>
      <c r="D1534" s="146" t="s">
        <v>630</v>
      </c>
      <c r="E1534" s="145" t="n">
        <v>38</v>
      </c>
      <c r="F1534" s="145" t="n">
        <v>96</v>
      </c>
      <c r="G1534" s="146" t="s">
        <v>236</v>
      </c>
    </row>
    <row r="1535" customFormat="false" ht="15.75" hidden="false" customHeight="true" outlineLevel="0" collapsed="false">
      <c r="A1535" s="144"/>
      <c r="B1535" s="144"/>
      <c r="C1535" s="144"/>
      <c r="E1535" s="145"/>
      <c r="F1535" s="145"/>
      <c r="G1535" s="146"/>
    </row>
    <row r="1536" customFormat="false" ht="15.75" hidden="false" customHeight="true" outlineLevel="0" collapsed="false">
      <c r="A1536" s="142"/>
      <c r="B1536" s="144"/>
      <c r="C1536" s="144"/>
      <c r="D1536" s="144"/>
      <c r="E1536" s="144"/>
      <c r="F1536" s="144"/>
      <c r="G1536" s="144"/>
    </row>
    <row r="1537" customFormat="false" ht="15.75" hidden="false" customHeight="true" outlineLevel="0" collapsed="false">
      <c r="A1537" s="144"/>
      <c r="B1537" s="144"/>
      <c r="C1537" s="144"/>
      <c r="E1537" s="145"/>
      <c r="F1537" s="145"/>
      <c r="G1537" s="146"/>
    </row>
    <row r="1538" customFormat="false" ht="15.75" hidden="false" customHeight="true" outlineLevel="0" collapsed="false">
      <c r="A1538" s="144"/>
      <c r="B1538" s="144"/>
      <c r="C1538" s="144"/>
      <c r="E1538" s="145"/>
      <c r="F1538" s="145"/>
      <c r="G1538" s="146"/>
    </row>
    <row r="1539" customFormat="false" ht="15.75" hidden="false" customHeight="true" outlineLevel="0" collapsed="false">
      <c r="A1539" s="144"/>
      <c r="B1539" s="144"/>
      <c r="C1539" s="144"/>
      <c r="E1539" s="145"/>
      <c r="F1539" s="145"/>
      <c r="G1539" s="146"/>
    </row>
    <row r="1540" customFormat="false" ht="15.75" hidden="false" customHeight="true" outlineLevel="0" collapsed="false">
      <c r="A1540" s="144"/>
      <c r="B1540" s="144"/>
      <c r="C1540" s="144"/>
      <c r="E1540" s="145"/>
      <c r="F1540" s="145"/>
      <c r="G1540" s="146"/>
    </row>
    <row r="1541" customFormat="false" ht="15.75" hidden="false" customHeight="true" outlineLevel="0" collapsed="false">
      <c r="A1541" s="144"/>
      <c r="B1541" s="144"/>
      <c r="C1541" s="144"/>
      <c r="E1541" s="145"/>
      <c r="F1541" s="145"/>
      <c r="G1541" s="146"/>
    </row>
    <row r="1542" customFormat="false" ht="15.75" hidden="false" customHeight="true" outlineLevel="0" collapsed="false">
      <c r="A1542" s="144"/>
      <c r="B1542" s="144"/>
      <c r="C1542" s="144"/>
      <c r="E1542" s="145"/>
      <c r="F1542" s="145"/>
      <c r="G1542" s="146"/>
    </row>
    <row r="1543" customFormat="false" ht="15.75" hidden="false" customHeight="true" outlineLevel="0" collapsed="false">
      <c r="A1543" s="144"/>
      <c r="B1543" s="144"/>
      <c r="C1543" s="144"/>
      <c r="E1543" s="145"/>
      <c r="F1543" s="145"/>
      <c r="G1543" s="146"/>
    </row>
    <row r="1544" customFormat="false" ht="15.75" hidden="false" customHeight="true" outlineLevel="0" collapsed="false">
      <c r="A1544" s="144"/>
      <c r="B1544" s="144"/>
      <c r="C1544" s="144"/>
      <c r="E1544" s="145"/>
      <c r="F1544" s="145"/>
      <c r="G1544" s="146"/>
    </row>
    <row r="1545" customFormat="false" ht="15.75" hidden="false" customHeight="true" outlineLevel="0" collapsed="false">
      <c r="A1545" s="144"/>
      <c r="B1545" s="144"/>
      <c r="C1545" s="144"/>
      <c r="E1545" s="145"/>
      <c r="F1545" s="145"/>
      <c r="G1545" s="146"/>
    </row>
    <row r="1546" customFormat="false" ht="15.75" hidden="false" customHeight="true" outlineLevel="0" collapsed="false">
      <c r="A1546" s="144"/>
      <c r="B1546" s="144"/>
      <c r="C1546" s="144"/>
      <c r="E1546" s="145"/>
      <c r="F1546" s="145"/>
      <c r="G1546" s="146"/>
    </row>
    <row r="1547" customFormat="false" ht="15.75" hidden="false" customHeight="true" outlineLevel="0" collapsed="false">
      <c r="A1547" s="144"/>
      <c r="B1547" s="144"/>
      <c r="C1547" s="144"/>
      <c r="E1547" s="145"/>
      <c r="F1547" s="145"/>
      <c r="G1547" s="146"/>
    </row>
    <row r="1548" customFormat="false" ht="15.75" hidden="false" customHeight="true" outlineLevel="0" collapsed="false">
      <c r="A1548" s="144"/>
      <c r="B1548" s="144"/>
      <c r="C1548" s="144"/>
      <c r="E1548" s="145"/>
      <c r="F1548" s="145"/>
      <c r="G1548" s="146"/>
    </row>
    <row r="1549" customFormat="false" ht="15.75" hidden="false" customHeight="true" outlineLevel="0" collapsed="false">
      <c r="A1549" s="144"/>
      <c r="B1549" s="144"/>
      <c r="C1549" s="144"/>
      <c r="E1549" s="145"/>
      <c r="F1549" s="145"/>
      <c r="G1549" s="146"/>
    </row>
    <row r="1550" customFormat="false" ht="15.75" hidden="false" customHeight="true" outlineLevel="0" collapsed="false">
      <c r="A1550" s="144"/>
      <c r="B1550" s="144"/>
      <c r="C1550" s="144"/>
      <c r="E1550" s="145"/>
      <c r="F1550" s="145"/>
      <c r="G1550" s="146"/>
    </row>
    <row r="1551" customFormat="false" ht="15.75" hidden="false" customHeight="true" outlineLevel="0" collapsed="false">
      <c r="A1551" s="144"/>
      <c r="B1551" s="144"/>
      <c r="C1551" s="144"/>
      <c r="E1551" s="145"/>
      <c r="F1551" s="145"/>
      <c r="G1551" s="146"/>
    </row>
    <row r="1552" customFormat="false" ht="15.75" hidden="false" customHeight="true" outlineLevel="0" collapsed="false">
      <c r="A1552" s="144"/>
      <c r="B1552" s="144"/>
      <c r="C1552" s="144"/>
      <c r="E1552" s="145"/>
      <c r="F1552" s="145"/>
      <c r="G1552" s="146"/>
    </row>
    <row r="1553" customFormat="false" ht="15.75" hidden="false" customHeight="true" outlineLevel="0" collapsed="false">
      <c r="A1553" s="144"/>
      <c r="B1553" s="144"/>
      <c r="C1553" s="144"/>
      <c r="E1553" s="145"/>
      <c r="F1553" s="145"/>
      <c r="G1553" s="146"/>
    </row>
    <row r="1554" customFormat="false" ht="15.75" hidden="false" customHeight="true" outlineLevel="0" collapsed="false">
      <c r="A1554" s="144"/>
      <c r="B1554" s="144"/>
      <c r="C1554" s="144"/>
      <c r="E1554" s="145"/>
      <c r="F1554" s="145"/>
      <c r="G1554" s="146"/>
    </row>
    <row r="1555" customFormat="false" ht="15.75" hidden="false" customHeight="true" outlineLevel="0" collapsed="false">
      <c r="A1555" s="144"/>
      <c r="B1555" s="144"/>
      <c r="C1555" s="144"/>
      <c r="E1555" s="145"/>
      <c r="F1555" s="145"/>
      <c r="G1555" s="146"/>
    </row>
    <row r="1556" customFormat="false" ht="15.75" hidden="false" customHeight="true" outlineLevel="0" collapsed="false">
      <c r="A1556" s="144"/>
      <c r="B1556" s="144"/>
      <c r="C1556" s="144"/>
      <c r="E1556" s="145"/>
      <c r="F1556" s="145"/>
      <c r="G1556" s="146"/>
    </row>
    <row r="1557" customFormat="false" ht="15.75" hidden="false" customHeight="true" outlineLevel="0" collapsed="false">
      <c r="A1557" s="144"/>
      <c r="B1557" s="144"/>
      <c r="C1557" s="144"/>
      <c r="E1557" s="145"/>
      <c r="F1557" s="145"/>
      <c r="G1557" s="146"/>
    </row>
    <row r="1558" customFormat="false" ht="15.75" hidden="false" customHeight="true" outlineLevel="0" collapsed="false">
      <c r="A1558" s="144"/>
      <c r="B1558" s="144"/>
      <c r="C1558" s="144"/>
      <c r="E1558" s="145"/>
      <c r="F1558" s="145"/>
      <c r="G1558" s="146"/>
    </row>
    <row r="1559" customFormat="false" ht="15.75" hidden="false" customHeight="true" outlineLevel="0" collapsed="false">
      <c r="A1559" s="144"/>
      <c r="B1559" s="144"/>
      <c r="C1559" s="144"/>
      <c r="E1559" s="145"/>
      <c r="F1559" s="145"/>
      <c r="G1559" s="146"/>
    </row>
    <row r="1560" customFormat="false" ht="15.75" hidden="false" customHeight="true" outlineLevel="0" collapsed="false">
      <c r="A1560" s="144"/>
      <c r="B1560" s="144"/>
      <c r="C1560" s="144"/>
      <c r="E1560" s="145"/>
      <c r="F1560" s="145"/>
      <c r="G1560" s="146"/>
    </row>
    <row r="1561" customFormat="false" ht="15.75" hidden="false" customHeight="true" outlineLevel="0" collapsed="false">
      <c r="A1561" s="144"/>
      <c r="B1561" s="144"/>
      <c r="C1561" s="144"/>
      <c r="E1561" s="145"/>
      <c r="F1561" s="145"/>
      <c r="G1561" s="146"/>
    </row>
    <row r="1562" customFormat="false" ht="15.75" hidden="false" customHeight="true" outlineLevel="0" collapsed="false">
      <c r="A1562" s="144"/>
      <c r="B1562" s="144"/>
      <c r="C1562" s="144"/>
      <c r="E1562" s="145"/>
      <c r="F1562" s="145"/>
      <c r="G1562" s="146"/>
    </row>
    <row r="1563" customFormat="false" ht="15.75" hidden="false" customHeight="true" outlineLevel="0" collapsed="false">
      <c r="A1563" s="144"/>
      <c r="B1563" s="144"/>
      <c r="C1563" s="144"/>
      <c r="E1563" s="145"/>
      <c r="F1563" s="145"/>
      <c r="G1563" s="146"/>
    </row>
    <row r="1564" customFormat="false" ht="15.75" hidden="false" customHeight="true" outlineLevel="0" collapsed="false">
      <c r="A1564" s="144"/>
      <c r="B1564" s="144"/>
      <c r="C1564" s="144"/>
      <c r="E1564" s="145"/>
      <c r="F1564" s="145"/>
      <c r="G1564" s="146"/>
    </row>
    <row r="1565" customFormat="false" ht="15.75" hidden="false" customHeight="true" outlineLevel="0" collapsed="false">
      <c r="A1565" s="144"/>
      <c r="B1565" s="144"/>
      <c r="C1565" s="144"/>
      <c r="E1565" s="145"/>
      <c r="F1565" s="145"/>
      <c r="G1565" s="146"/>
    </row>
    <row r="1566" customFormat="false" ht="15.75" hidden="false" customHeight="true" outlineLevel="0" collapsed="false">
      <c r="A1566" s="144"/>
      <c r="B1566" s="144"/>
      <c r="C1566" s="144"/>
      <c r="E1566" s="145"/>
      <c r="F1566" s="145"/>
      <c r="G1566" s="146"/>
    </row>
    <row r="1567" customFormat="false" ht="15.75" hidden="false" customHeight="true" outlineLevel="0" collapsed="false">
      <c r="A1567" s="144"/>
      <c r="B1567" s="144"/>
      <c r="C1567" s="144"/>
      <c r="E1567" s="145"/>
      <c r="F1567" s="145"/>
      <c r="G1567" s="146"/>
    </row>
    <row r="1568" customFormat="false" ht="15.75" hidden="false" customHeight="true" outlineLevel="0" collapsed="false">
      <c r="A1568" s="144"/>
      <c r="B1568" s="144"/>
      <c r="C1568" s="144"/>
      <c r="E1568" s="145"/>
      <c r="F1568" s="145"/>
      <c r="G1568" s="146"/>
    </row>
    <row r="1569" customFormat="false" ht="15.75" hidden="false" customHeight="true" outlineLevel="0" collapsed="false">
      <c r="A1569" s="144"/>
      <c r="B1569" s="144"/>
      <c r="C1569" s="144"/>
      <c r="E1569" s="145"/>
      <c r="F1569" s="145"/>
      <c r="G1569" s="146"/>
    </row>
    <row r="1570" customFormat="false" ht="15.75" hidden="false" customHeight="true" outlineLevel="0" collapsed="false">
      <c r="A1570" s="144"/>
      <c r="B1570" s="144"/>
      <c r="C1570" s="144"/>
      <c r="E1570" s="145"/>
      <c r="F1570" s="145"/>
      <c r="G1570" s="146"/>
    </row>
    <row r="1571" customFormat="false" ht="15.75" hidden="false" customHeight="true" outlineLevel="0" collapsed="false">
      <c r="A1571" s="144"/>
      <c r="B1571" s="144"/>
      <c r="C1571" s="144"/>
      <c r="E1571" s="145"/>
      <c r="F1571" s="145"/>
      <c r="G1571" s="146"/>
    </row>
    <row r="1572" customFormat="false" ht="15.75" hidden="false" customHeight="true" outlineLevel="0" collapsed="false">
      <c r="A1572" s="144"/>
      <c r="B1572" s="144"/>
      <c r="C1572" s="144"/>
      <c r="E1572" s="145"/>
      <c r="F1572" s="145"/>
      <c r="G1572" s="146"/>
    </row>
    <row r="1573" customFormat="false" ht="15.75" hidden="false" customHeight="true" outlineLevel="0" collapsed="false">
      <c r="A1573" s="144"/>
      <c r="B1573" s="144"/>
      <c r="C1573" s="144"/>
      <c r="E1573" s="145"/>
      <c r="F1573" s="145"/>
      <c r="G1573" s="146"/>
    </row>
    <row r="1574" customFormat="false" ht="15.75" hidden="false" customHeight="true" outlineLevel="0" collapsed="false">
      <c r="A1574" s="144"/>
      <c r="B1574" s="144"/>
      <c r="C1574" s="144"/>
      <c r="E1574" s="145"/>
      <c r="F1574" s="145"/>
      <c r="G1574" s="146"/>
    </row>
    <row r="1575" customFormat="false" ht="15.75" hidden="false" customHeight="true" outlineLevel="0" collapsed="false">
      <c r="A1575" s="144"/>
      <c r="B1575" s="144"/>
      <c r="C1575" s="144"/>
      <c r="E1575" s="145"/>
      <c r="F1575" s="145"/>
      <c r="G1575" s="146"/>
    </row>
    <row r="1576" customFormat="false" ht="15.75" hidden="false" customHeight="true" outlineLevel="0" collapsed="false">
      <c r="A1576" s="144"/>
      <c r="B1576" s="144"/>
      <c r="C1576" s="144"/>
      <c r="E1576" s="145"/>
      <c r="F1576" s="145"/>
      <c r="G1576" s="146"/>
    </row>
    <row r="1577" customFormat="false" ht="15.75" hidden="false" customHeight="true" outlineLevel="0" collapsed="false">
      <c r="A1577" s="144"/>
      <c r="B1577" s="144"/>
      <c r="C1577" s="144"/>
      <c r="E1577" s="145"/>
      <c r="F1577" s="145"/>
      <c r="G1577" s="146"/>
    </row>
    <row r="1578" customFormat="false" ht="15.75" hidden="false" customHeight="true" outlineLevel="0" collapsed="false">
      <c r="A1578" s="144"/>
      <c r="B1578" s="144"/>
      <c r="C1578" s="144"/>
      <c r="E1578" s="145"/>
      <c r="F1578" s="145"/>
      <c r="G1578" s="146"/>
    </row>
    <row r="1579" customFormat="false" ht="15.75" hidden="false" customHeight="true" outlineLevel="0" collapsed="false">
      <c r="A1579" s="144"/>
      <c r="B1579" s="144"/>
      <c r="C1579" s="144"/>
      <c r="E1579" s="145"/>
      <c r="F1579" s="145"/>
      <c r="G1579" s="146"/>
    </row>
    <row r="1580" customFormat="false" ht="15.75" hidden="false" customHeight="true" outlineLevel="0" collapsed="false">
      <c r="A1580" s="144"/>
      <c r="B1580" s="144"/>
      <c r="C1580" s="144"/>
      <c r="E1580" s="145"/>
      <c r="F1580" s="145"/>
      <c r="G1580" s="146"/>
    </row>
    <row r="1581" customFormat="false" ht="15.75" hidden="false" customHeight="true" outlineLevel="0" collapsed="false">
      <c r="A1581" s="144"/>
      <c r="B1581" s="144"/>
      <c r="C1581" s="144"/>
      <c r="E1581" s="145"/>
      <c r="F1581" s="145"/>
      <c r="G1581" s="146"/>
    </row>
    <row r="1582" customFormat="false" ht="15.75" hidden="false" customHeight="true" outlineLevel="0" collapsed="false">
      <c r="A1582" s="144"/>
      <c r="B1582" s="144"/>
      <c r="C1582" s="144"/>
      <c r="E1582" s="145"/>
      <c r="F1582" s="145"/>
      <c r="G1582" s="146"/>
    </row>
    <row r="1583" customFormat="false" ht="15.75" hidden="false" customHeight="true" outlineLevel="0" collapsed="false">
      <c r="A1583" s="144"/>
      <c r="B1583" s="144"/>
      <c r="C1583" s="144"/>
      <c r="E1583" s="145"/>
      <c r="F1583" s="145"/>
      <c r="G1583" s="146"/>
    </row>
    <row r="1584" customFormat="false" ht="15.75" hidden="false" customHeight="true" outlineLevel="0" collapsed="false">
      <c r="A1584" s="144"/>
      <c r="B1584" s="144"/>
      <c r="C1584" s="144"/>
      <c r="E1584" s="145"/>
      <c r="F1584" s="145"/>
      <c r="G1584" s="146"/>
    </row>
    <row r="1585" customFormat="false" ht="15.75" hidden="false" customHeight="true" outlineLevel="0" collapsed="false">
      <c r="A1585" s="144"/>
      <c r="B1585" s="144"/>
      <c r="C1585" s="144"/>
      <c r="E1585" s="145"/>
      <c r="F1585" s="145"/>
      <c r="G1585" s="146"/>
    </row>
    <row r="1586" customFormat="false" ht="15.75" hidden="false" customHeight="true" outlineLevel="0" collapsed="false">
      <c r="A1586" s="144"/>
      <c r="B1586" s="144"/>
      <c r="C1586" s="144"/>
      <c r="E1586" s="145"/>
      <c r="F1586" s="145"/>
      <c r="G1586" s="146"/>
    </row>
    <row r="1587" customFormat="false" ht="15.75" hidden="false" customHeight="true" outlineLevel="0" collapsed="false">
      <c r="A1587" s="144"/>
      <c r="B1587" s="144"/>
      <c r="C1587" s="144"/>
      <c r="E1587" s="145"/>
      <c r="F1587" s="145"/>
      <c r="G1587" s="146"/>
    </row>
    <row r="1588" customFormat="false" ht="15.75" hidden="false" customHeight="true" outlineLevel="0" collapsed="false">
      <c r="A1588" s="144"/>
      <c r="B1588" s="144"/>
      <c r="C1588" s="144"/>
      <c r="E1588" s="145"/>
      <c r="F1588" s="145"/>
      <c r="G1588" s="146"/>
    </row>
    <row r="1589" customFormat="false" ht="15.75" hidden="false" customHeight="true" outlineLevel="0" collapsed="false">
      <c r="A1589" s="144"/>
      <c r="B1589" s="144"/>
      <c r="C1589" s="144"/>
      <c r="E1589" s="145"/>
      <c r="F1589" s="145"/>
      <c r="G1589" s="146"/>
    </row>
    <row r="1590" customFormat="false" ht="15.75" hidden="false" customHeight="true" outlineLevel="0" collapsed="false">
      <c r="A1590" s="144"/>
      <c r="B1590" s="144"/>
      <c r="C1590" s="144"/>
      <c r="E1590" s="145"/>
      <c r="F1590" s="145"/>
      <c r="G1590" s="146"/>
    </row>
    <row r="1591" customFormat="false" ht="15.75" hidden="false" customHeight="true" outlineLevel="0" collapsed="false">
      <c r="A1591" s="144"/>
      <c r="B1591" s="144"/>
      <c r="C1591" s="144"/>
      <c r="E1591" s="145"/>
      <c r="F1591" s="145"/>
      <c r="G1591" s="146"/>
    </row>
    <row r="1592" customFormat="false" ht="15.75" hidden="false" customHeight="true" outlineLevel="0" collapsed="false">
      <c r="A1592" s="144"/>
      <c r="B1592" s="144"/>
      <c r="C1592" s="144"/>
      <c r="E1592" s="145"/>
      <c r="F1592" s="145"/>
      <c r="G1592" s="146"/>
    </row>
    <row r="1593" customFormat="false" ht="15.75" hidden="false" customHeight="true" outlineLevel="0" collapsed="false">
      <c r="A1593" s="144"/>
      <c r="B1593" s="144"/>
      <c r="C1593" s="144"/>
      <c r="E1593" s="145"/>
      <c r="F1593" s="145"/>
      <c r="G1593" s="146"/>
    </row>
    <row r="1594" customFormat="false" ht="15.75" hidden="false" customHeight="true" outlineLevel="0" collapsed="false">
      <c r="A1594" s="144"/>
      <c r="B1594" s="144"/>
      <c r="C1594" s="144"/>
      <c r="E1594" s="145"/>
      <c r="F1594" s="145"/>
      <c r="G1594" s="146"/>
    </row>
    <row r="1595" customFormat="false" ht="15.75" hidden="false" customHeight="true" outlineLevel="0" collapsed="false">
      <c r="A1595" s="144"/>
      <c r="B1595" s="144"/>
      <c r="C1595" s="144"/>
      <c r="E1595" s="145"/>
      <c r="F1595" s="145"/>
      <c r="G1595" s="146"/>
    </row>
    <row r="1596" customFormat="false" ht="15.75" hidden="false" customHeight="true" outlineLevel="0" collapsed="false">
      <c r="A1596" s="144"/>
      <c r="B1596" s="144"/>
      <c r="C1596" s="144"/>
      <c r="E1596" s="145"/>
      <c r="F1596" s="145"/>
      <c r="G1596" s="146"/>
    </row>
    <row r="1597" customFormat="false" ht="15.75" hidden="false" customHeight="true" outlineLevel="0" collapsed="false">
      <c r="A1597" s="144"/>
      <c r="B1597" s="144"/>
      <c r="C1597" s="144"/>
      <c r="E1597" s="145"/>
      <c r="F1597" s="145"/>
      <c r="G1597" s="146"/>
    </row>
    <row r="1598" customFormat="false" ht="15.75" hidden="false" customHeight="true" outlineLevel="0" collapsed="false">
      <c r="A1598" s="144"/>
      <c r="B1598" s="144"/>
      <c r="C1598" s="144"/>
      <c r="E1598" s="145"/>
      <c r="F1598" s="145"/>
      <c r="G1598" s="146"/>
    </row>
    <row r="1599" customFormat="false" ht="15.75" hidden="false" customHeight="true" outlineLevel="0" collapsed="false">
      <c r="A1599" s="144"/>
      <c r="B1599" s="144"/>
      <c r="C1599" s="144"/>
      <c r="E1599" s="145"/>
      <c r="F1599" s="145"/>
      <c r="G1599" s="146"/>
    </row>
    <row r="1600" customFormat="false" ht="15.75" hidden="false" customHeight="true" outlineLevel="0" collapsed="false">
      <c r="A1600" s="144"/>
      <c r="B1600" s="144"/>
      <c r="C1600" s="144"/>
      <c r="E1600" s="145"/>
      <c r="F1600" s="145"/>
      <c r="G1600" s="146"/>
    </row>
    <row r="1601" customFormat="false" ht="15.75" hidden="false" customHeight="true" outlineLevel="0" collapsed="false">
      <c r="A1601" s="144"/>
      <c r="B1601" s="144"/>
      <c r="C1601" s="144"/>
      <c r="E1601" s="145"/>
      <c r="F1601" s="145"/>
      <c r="G1601" s="146"/>
    </row>
    <row r="1602" customFormat="false" ht="15.75" hidden="false" customHeight="true" outlineLevel="0" collapsed="false">
      <c r="A1602" s="144"/>
      <c r="B1602" s="144"/>
      <c r="C1602" s="144"/>
      <c r="E1602" s="145"/>
      <c r="F1602" s="145"/>
      <c r="G1602" s="146"/>
    </row>
    <row r="1603" customFormat="false" ht="15.75" hidden="false" customHeight="true" outlineLevel="0" collapsed="false">
      <c r="A1603" s="144"/>
      <c r="B1603" s="144"/>
      <c r="C1603" s="144"/>
      <c r="E1603" s="145"/>
      <c r="F1603" s="145"/>
      <c r="G1603" s="146"/>
    </row>
    <row r="1604" customFormat="false" ht="15.75" hidden="false" customHeight="true" outlineLevel="0" collapsed="false">
      <c r="A1604" s="144"/>
      <c r="B1604" s="144"/>
      <c r="C1604" s="144"/>
      <c r="E1604" s="145"/>
      <c r="F1604" s="145"/>
      <c r="G1604" s="146"/>
    </row>
    <row r="1605" customFormat="false" ht="15.75" hidden="false" customHeight="true" outlineLevel="0" collapsed="false">
      <c r="A1605" s="144"/>
      <c r="B1605" s="144"/>
      <c r="C1605" s="144"/>
      <c r="E1605" s="145"/>
      <c r="F1605" s="145"/>
      <c r="G1605" s="146"/>
    </row>
    <row r="1606" customFormat="false" ht="15.75" hidden="false" customHeight="true" outlineLevel="0" collapsed="false">
      <c r="A1606" s="144"/>
      <c r="B1606" s="144"/>
      <c r="C1606" s="144"/>
      <c r="E1606" s="145"/>
      <c r="F1606" s="145"/>
      <c r="G1606" s="146"/>
    </row>
    <row r="1607" customFormat="false" ht="15.75" hidden="false" customHeight="true" outlineLevel="0" collapsed="false">
      <c r="A1607" s="144"/>
      <c r="B1607" s="144"/>
      <c r="C1607" s="144"/>
      <c r="E1607" s="145"/>
      <c r="F1607" s="145"/>
      <c r="G1607" s="146"/>
    </row>
    <row r="1608" customFormat="false" ht="15.75" hidden="false" customHeight="true" outlineLevel="0" collapsed="false">
      <c r="A1608" s="144"/>
      <c r="B1608" s="144"/>
      <c r="C1608" s="144"/>
      <c r="E1608" s="145"/>
      <c r="F1608" s="145"/>
      <c r="G1608" s="146"/>
    </row>
    <row r="1609" customFormat="false" ht="15.75" hidden="false" customHeight="true" outlineLevel="0" collapsed="false">
      <c r="A1609" s="144"/>
      <c r="B1609" s="144"/>
      <c r="C1609" s="144"/>
      <c r="E1609" s="145"/>
      <c r="F1609" s="145"/>
      <c r="G1609" s="146"/>
    </row>
    <row r="1610" customFormat="false" ht="15.75" hidden="false" customHeight="true" outlineLevel="0" collapsed="false">
      <c r="A1610" s="144"/>
      <c r="B1610" s="144"/>
      <c r="C1610" s="144"/>
      <c r="E1610" s="145"/>
      <c r="F1610" s="145"/>
      <c r="G1610" s="146"/>
    </row>
    <row r="1611" customFormat="false" ht="15.75" hidden="false" customHeight="true" outlineLevel="0" collapsed="false">
      <c r="A1611" s="144"/>
      <c r="B1611" s="144"/>
      <c r="C1611" s="144"/>
      <c r="E1611" s="145"/>
      <c r="F1611" s="145"/>
      <c r="G1611" s="146"/>
    </row>
    <row r="1612" customFormat="false" ht="15.75" hidden="false" customHeight="true" outlineLevel="0" collapsed="false">
      <c r="A1612" s="144"/>
      <c r="B1612" s="144"/>
      <c r="C1612" s="144"/>
      <c r="E1612" s="145"/>
      <c r="F1612" s="145"/>
      <c r="G1612" s="146"/>
    </row>
    <row r="1613" customFormat="false" ht="15.75" hidden="false" customHeight="true" outlineLevel="0" collapsed="false">
      <c r="A1613" s="144"/>
      <c r="B1613" s="144"/>
      <c r="C1613" s="144"/>
      <c r="E1613" s="145"/>
      <c r="F1613" s="145"/>
      <c r="G1613" s="146"/>
    </row>
    <row r="1614" customFormat="false" ht="15.75" hidden="false" customHeight="true" outlineLevel="0" collapsed="false">
      <c r="A1614" s="144"/>
      <c r="B1614" s="144"/>
      <c r="C1614" s="144"/>
      <c r="E1614" s="145"/>
      <c r="F1614" s="145"/>
      <c r="G1614" s="146"/>
    </row>
    <row r="1615" customFormat="false" ht="15.75" hidden="false" customHeight="true" outlineLevel="0" collapsed="false">
      <c r="A1615" s="144"/>
      <c r="B1615" s="144"/>
      <c r="C1615" s="144"/>
      <c r="E1615" s="145"/>
      <c r="F1615" s="145"/>
      <c r="G1615" s="146"/>
    </row>
    <row r="1616" customFormat="false" ht="15.75" hidden="false" customHeight="true" outlineLevel="0" collapsed="false">
      <c r="A1616" s="144"/>
      <c r="B1616" s="144"/>
      <c r="C1616" s="144"/>
      <c r="E1616" s="145"/>
      <c r="F1616" s="145"/>
      <c r="G1616" s="146"/>
    </row>
    <row r="1617" customFormat="false" ht="15.75" hidden="false" customHeight="true" outlineLevel="0" collapsed="false">
      <c r="A1617" s="144"/>
      <c r="B1617" s="144"/>
      <c r="C1617" s="144"/>
      <c r="E1617" s="145"/>
      <c r="F1617" s="145"/>
      <c r="G1617" s="146"/>
    </row>
    <row r="1618" customFormat="false" ht="15.75" hidden="false" customHeight="true" outlineLevel="0" collapsed="false">
      <c r="A1618" s="144"/>
      <c r="B1618" s="144"/>
      <c r="C1618" s="144"/>
      <c r="E1618" s="145"/>
      <c r="F1618" s="145"/>
      <c r="G1618" s="146"/>
    </row>
    <row r="1619" customFormat="false" ht="15.75" hidden="false" customHeight="true" outlineLevel="0" collapsed="false">
      <c r="A1619" s="144"/>
      <c r="B1619" s="144"/>
      <c r="C1619" s="144"/>
      <c r="E1619" s="145"/>
      <c r="F1619" s="145"/>
      <c r="G1619" s="146"/>
    </row>
    <row r="1620" customFormat="false" ht="15.75" hidden="false" customHeight="true" outlineLevel="0" collapsed="false">
      <c r="A1620" s="144"/>
      <c r="B1620" s="144"/>
      <c r="C1620" s="144"/>
      <c r="E1620" s="145"/>
      <c r="F1620" s="145"/>
      <c r="G1620" s="146"/>
    </row>
    <row r="1621" customFormat="false" ht="15.75" hidden="false" customHeight="true" outlineLevel="0" collapsed="false">
      <c r="A1621" s="144"/>
      <c r="B1621" s="144"/>
      <c r="C1621" s="144"/>
      <c r="E1621" s="145"/>
      <c r="F1621" s="145"/>
      <c r="G1621" s="146"/>
    </row>
    <row r="1622" customFormat="false" ht="15.75" hidden="false" customHeight="true" outlineLevel="0" collapsed="false">
      <c r="A1622" s="144"/>
      <c r="B1622" s="144"/>
      <c r="C1622" s="144"/>
      <c r="E1622" s="145"/>
      <c r="F1622" s="145"/>
      <c r="G1622" s="146"/>
    </row>
    <row r="1623" customFormat="false" ht="15.75" hidden="false" customHeight="true" outlineLevel="0" collapsed="false">
      <c r="A1623" s="144"/>
      <c r="B1623" s="144"/>
      <c r="C1623" s="144"/>
      <c r="E1623" s="145"/>
      <c r="F1623" s="145"/>
      <c r="G1623" s="146"/>
    </row>
    <row r="1624" customFormat="false" ht="15.75" hidden="false" customHeight="true" outlineLevel="0" collapsed="false">
      <c r="A1624" s="144"/>
      <c r="B1624" s="144"/>
      <c r="C1624" s="144"/>
      <c r="E1624" s="145"/>
      <c r="F1624" s="145"/>
      <c r="G1624" s="146"/>
    </row>
    <row r="1625" customFormat="false" ht="15.75" hidden="false" customHeight="true" outlineLevel="0" collapsed="false">
      <c r="A1625" s="144"/>
      <c r="B1625" s="144"/>
      <c r="C1625" s="144"/>
      <c r="E1625" s="145"/>
      <c r="F1625" s="145"/>
      <c r="G1625" s="146"/>
    </row>
    <row r="1626" customFormat="false" ht="15.75" hidden="false" customHeight="true" outlineLevel="0" collapsed="false">
      <c r="A1626" s="144"/>
      <c r="B1626" s="144"/>
      <c r="C1626" s="144"/>
      <c r="E1626" s="145"/>
      <c r="F1626" s="145"/>
      <c r="G1626" s="146"/>
    </row>
    <row r="1627" customFormat="false" ht="15.75" hidden="false" customHeight="true" outlineLevel="0" collapsed="false">
      <c r="A1627" s="144"/>
      <c r="B1627" s="144"/>
      <c r="C1627" s="144"/>
      <c r="E1627" s="145"/>
      <c r="F1627" s="145"/>
      <c r="G1627" s="146"/>
    </row>
    <row r="1628" customFormat="false" ht="15.75" hidden="false" customHeight="true" outlineLevel="0" collapsed="false">
      <c r="A1628" s="144"/>
      <c r="B1628" s="144"/>
      <c r="C1628" s="144"/>
      <c r="E1628" s="145"/>
      <c r="F1628" s="145"/>
      <c r="G1628" s="146"/>
    </row>
    <row r="1629" customFormat="false" ht="15.75" hidden="false" customHeight="true" outlineLevel="0" collapsed="false">
      <c r="A1629" s="144"/>
      <c r="B1629" s="144"/>
      <c r="C1629" s="144"/>
      <c r="E1629" s="145"/>
      <c r="F1629" s="145"/>
      <c r="G1629" s="146"/>
    </row>
    <row r="1630" customFormat="false" ht="15.75" hidden="false" customHeight="true" outlineLevel="0" collapsed="false">
      <c r="A1630" s="144"/>
      <c r="B1630" s="144"/>
      <c r="C1630" s="144"/>
      <c r="E1630" s="145"/>
      <c r="F1630" s="145"/>
      <c r="G1630" s="146"/>
    </row>
    <row r="1631" customFormat="false" ht="15.75" hidden="false" customHeight="true" outlineLevel="0" collapsed="false">
      <c r="A1631" s="144"/>
      <c r="B1631" s="144"/>
      <c r="C1631" s="144"/>
      <c r="E1631" s="145"/>
      <c r="F1631" s="145"/>
      <c r="G1631" s="146"/>
    </row>
    <row r="1632" customFormat="false" ht="15.75" hidden="false" customHeight="true" outlineLevel="0" collapsed="false">
      <c r="A1632" s="144"/>
      <c r="B1632" s="144"/>
      <c r="C1632" s="144"/>
      <c r="E1632" s="145"/>
      <c r="F1632" s="145"/>
      <c r="G1632" s="146"/>
    </row>
    <row r="1633" customFormat="false" ht="15.75" hidden="false" customHeight="true" outlineLevel="0" collapsed="false">
      <c r="A1633" s="144"/>
      <c r="B1633" s="144"/>
      <c r="C1633" s="144"/>
      <c r="E1633" s="145"/>
      <c r="F1633" s="145"/>
      <c r="G1633" s="146"/>
    </row>
    <row r="1634" customFormat="false" ht="15.75" hidden="false" customHeight="true" outlineLevel="0" collapsed="false">
      <c r="A1634" s="144"/>
      <c r="B1634" s="144"/>
      <c r="C1634" s="144"/>
      <c r="E1634" s="145"/>
      <c r="F1634" s="145"/>
      <c r="G1634" s="146"/>
    </row>
    <row r="1635" customFormat="false" ht="15.75" hidden="false" customHeight="true" outlineLevel="0" collapsed="false">
      <c r="A1635" s="144"/>
      <c r="B1635" s="144"/>
      <c r="C1635" s="144"/>
      <c r="E1635" s="145"/>
      <c r="F1635" s="145"/>
      <c r="G1635" s="146"/>
    </row>
    <row r="1636" customFormat="false" ht="15.75" hidden="false" customHeight="true" outlineLevel="0" collapsed="false">
      <c r="A1636" s="144"/>
      <c r="B1636" s="144"/>
      <c r="C1636" s="144"/>
      <c r="E1636" s="145"/>
      <c r="F1636" s="145"/>
      <c r="G1636" s="146"/>
    </row>
    <row r="1637" customFormat="false" ht="15.75" hidden="false" customHeight="true" outlineLevel="0" collapsed="false">
      <c r="A1637" s="144"/>
      <c r="B1637" s="144"/>
      <c r="C1637" s="144"/>
      <c r="E1637" s="145"/>
      <c r="F1637" s="145"/>
      <c r="G1637" s="146"/>
    </row>
    <row r="1638" customFormat="false" ht="15.75" hidden="false" customHeight="true" outlineLevel="0" collapsed="false">
      <c r="A1638" s="144"/>
      <c r="B1638" s="144"/>
      <c r="C1638" s="144"/>
      <c r="E1638" s="145"/>
      <c r="F1638" s="145"/>
      <c r="G1638" s="146"/>
    </row>
    <row r="1639" customFormat="false" ht="15.75" hidden="false" customHeight="true" outlineLevel="0" collapsed="false">
      <c r="A1639" s="144"/>
      <c r="B1639" s="144"/>
      <c r="C1639" s="144"/>
      <c r="E1639" s="145"/>
      <c r="F1639" s="145"/>
      <c r="G1639" s="146"/>
    </row>
    <row r="1640" customFormat="false" ht="15.75" hidden="false" customHeight="true" outlineLevel="0" collapsed="false">
      <c r="A1640" s="144"/>
      <c r="B1640" s="144"/>
      <c r="C1640" s="144"/>
      <c r="E1640" s="145"/>
      <c r="F1640" s="145"/>
      <c r="G1640" s="146"/>
    </row>
    <row r="1641" customFormat="false" ht="15.75" hidden="false" customHeight="true" outlineLevel="0" collapsed="false">
      <c r="A1641" s="144"/>
      <c r="B1641" s="144"/>
      <c r="C1641" s="144"/>
      <c r="E1641" s="145"/>
      <c r="F1641" s="145"/>
      <c r="G1641" s="146"/>
    </row>
    <row r="1642" customFormat="false" ht="15.75" hidden="false" customHeight="true" outlineLevel="0" collapsed="false">
      <c r="A1642" s="144"/>
      <c r="B1642" s="144"/>
      <c r="C1642" s="144"/>
      <c r="E1642" s="145"/>
      <c r="F1642" s="145"/>
      <c r="G1642" s="146"/>
    </row>
    <row r="1643" customFormat="false" ht="15.75" hidden="false" customHeight="true" outlineLevel="0" collapsed="false">
      <c r="A1643" s="144"/>
      <c r="B1643" s="144"/>
      <c r="C1643" s="144"/>
      <c r="E1643" s="145"/>
      <c r="F1643" s="145"/>
      <c r="G1643" s="146"/>
    </row>
    <row r="1644" customFormat="false" ht="15.75" hidden="false" customHeight="true" outlineLevel="0" collapsed="false">
      <c r="A1644" s="144"/>
      <c r="B1644" s="144"/>
      <c r="C1644" s="144"/>
      <c r="E1644" s="145"/>
      <c r="F1644" s="145"/>
      <c r="G1644" s="146"/>
    </row>
    <row r="1645" customFormat="false" ht="15.75" hidden="false" customHeight="true" outlineLevel="0" collapsed="false">
      <c r="A1645" s="144"/>
      <c r="B1645" s="144"/>
      <c r="C1645" s="144"/>
      <c r="E1645" s="145"/>
      <c r="F1645" s="145"/>
      <c r="G1645" s="146"/>
    </row>
    <row r="1646" customFormat="false" ht="15.75" hidden="false" customHeight="true" outlineLevel="0" collapsed="false">
      <c r="A1646" s="144"/>
      <c r="B1646" s="144"/>
      <c r="C1646" s="144"/>
      <c r="E1646" s="145"/>
      <c r="F1646" s="145"/>
      <c r="G1646" s="146"/>
    </row>
    <row r="1647" customFormat="false" ht="15.75" hidden="false" customHeight="true" outlineLevel="0" collapsed="false">
      <c r="A1647" s="144"/>
      <c r="B1647" s="144"/>
      <c r="C1647" s="144"/>
      <c r="E1647" s="145"/>
      <c r="F1647" s="145"/>
      <c r="G1647" s="146"/>
    </row>
    <row r="1648" customFormat="false" ht="15.75" hidden="false" customHeight="true" outlineLevel="0" collapsed="false">
      <c r="A1648" s="144"/>
      <c r="B1648" s="144"/>
      <c r="C1648" s="144"/>
      <c r="E1648" s="145"/>
      <c r="F1648" s="145"/>
      <c r="G1648" s="146"/>
    </row>
    <row r="1649" customFormat="false" ht="15.75" hidden="false" customHeight="true" outlineLevel="0" collapsed="false">
      <c r="A1649" s="144"/>
      <c r="B1649" s="144"/>
      <c r="C1649" s="144"/>
      <c r="E1649" s="145"/>
      <c r="F1649" s="145"/>
      <c r="G1649" s="146"/>
    </row>
    <row r="1650" customFormat="false" ht="15.75" hidden="false" customHeight="true" outlineLevel="0" collapsed="false">
      <c r="A1650" s="144"/>
      <c r="B1650" s="144"/>
      <c r="C1650" s="144"/>
      <c r="E1650" s="145"/>
      <c r="F1650" s="145"/>
      <c r="G1650" s="146"/>
    </row>
    <row r="1651" customFormat="false" ht="15.75" hidden="false" customHeight="true" outlineLevel="0" collapsed="false">
      <c r="A1651" s="144"/>
      <c r="B1651" s="144"/>
      <c r="C1651" s="144"/>
      <c r="E1651" s="145"/>
      <c r="F1651" s="145"/>
      <c r="G1651" s="146"/>
    </row>
    <row r="1652" customFormat="false" ht="15.75" hidden="false" customHeight="true" outlineLevel="0" collapsed="false">
      <c r="A1652" s="144"/>
      <c r="B1652" s="144"/>
      <c r="C1652" s="144"/>
      <c r="E1652" s="145"/>
      <c r="F1652" s="145"/>
      <c r="G1652" s="146"/>
    </row>
    <row r="1653" customFormat="false" ht="15.75" hidden="false" customHeight="true" outlineLevel="0" collapsed="false">
      <c r="A1653" s="144"/>
      <c r="B1653" s="144"/>
      <c r="C1653" s="144"/>
      <c r="E1653" s="145"/>
      <c r="F1653" s="145"/>
      <c r="G1653" s="146"/>
    </row>
    <row r="1654" customFormat="false" ht="15.75" hidden="false" customHeight="true" outlineLevel="0" collapsed="false">
      <c r="A1654" s="144"/>
      <c r="B1654" s="144"/>
      <c r="C1654" s="144"/>
      <c r="E1654" s="145"/>
      <c r="F1654" s="145"/>
      <c r="G1654" s="146"/>
    </row>
    <row r="1655" customFormat="false" ht="15.75" hidden="false" customHeight="true" outlineLevel="0" collapsed="false">
      <c r="A1655" s="144"/>
      <c r="B1655" s="144"/>
      <c r="C1655" s="144"/>
      <c r="E1655" s="145"/>
      <c r="F1655" s="145"/>
      <c r="G1655" s="146"/>
    </row>
    <row r="1656" customFormat="false" ht="15.75" hidden="false" customHeight="true" outlineLevel="0" collapsed="false">
      <c r="A1656" s="144"/>
      <c r="B1656" s="144"/>
      <c r="C1656" s="144"/>
      <c r="E1656" s="145"/>
      <c r="F1656" s="145"/>
      <c r="G1656" s="146"/>
    </row>
    <row r="1657" customFormat="false" ht="15.75" hidden="false" customHeight="true" outlineLevel="0" collapsed="false">
      <c r="A1657" s="144"/>
      <c r="B1657" s="144"/>
      <c r="C1657" s="144"/>
      <c r="E1657" s="145"/>
      <c r="F1657" s="145"/>
      <c r="G1657" s="146"/>
    </row>
    <row r="1658" customFormat="false" ht="15.75" hidden="false" customHeight="true" outlineLevel="0" collapsed="false">
      <c r="A1658" s="144"/>
      <c r="B1658" s="144"/>
      <c r="C1658" s="144"/>
      <c r="E1658" s="145"/>
      <c r="F1658" s="145"/>
      <c r="G1658" s="146"/>
    </row>
    <row r="1659" customFormat="false" ht="15.75" hidden="false" customHeight="true" outlineLevel="0" collapsed="false">
      <c r="A1659" s="144"/>
      <c r="B1659" s="144"/>
      <c r="C1659" s="144"/>
      <c r="E1659" s="145"/>
      <c r="F1659" s="145"/>
      <c r="G1659" s="146"/>
    </row>
    <row r="1660" customFormat="false" ht="15.75" hidden="false" customHeight="true" outlineLevel="0" collapsed="false">
      <c r="A1660" s="144"/>
      <c r="B1660" s="144"/>
      <c r="C1660" s="144"/>
      <c r="E1660" s="145"/>
      <c r="F1660" s="145"/>
      <c r="G1660" s="146"/>
    </row>
    <row r="1661" customFormat="false" ht="15.75" hidden="false" customHeight="true" outlineLevel="0" collapsed="false">
      <c r="A1661" s="144"/>
      <c r="B1661" s="144"/>
      <c r="C1661" s="144"/>
      <c r="E1661" s="145"/>
      <c r="F1661" s="145"/>
      <c r="G1661" s="146"/>
    </row>
    <row r="1662" customFormat="false" ht="15.75" hidden="false" customHeight="true" outlineLevel="0" collapsed="false">
      <c r="A1662" s="144"/>
      <c r="B1662" s="144"/>
      <c r="C1662" s="144"/>
      <c r="E1662" s="145"/>
      <c r="F1662" s="145"/>
      <c r="G1662" s="146"/>
    </row>
    <row r="1663" customFormat="false" ht="15.75" hidden="false" customHeight="true" outlineLevel="0" collapsed="false">
      <c r="A1663" s="144"/>
      <c r="B1663" s="144"/>
      <c r="C1663" s="144"/>
      <c r="E1663" s="145"/>
      <c r="F1663" s="145"/>
      <c r="G1663" s="146"/>
    </row>
    <row r="1664" customFormat="false" ht="15.75" hidden="false" customHeight="true" outlineLevel="0" collapsed="false">
      <c r="A1664" s="144"/>
      <c r="B1664" s="144"/>
      <c r="C1664" s="144"/>
      <c r="E1664" s="145"/>
      <c r="F1664" s="145"/>
      <c r="G1664" s="146"/>
    </row>
    <row r="1665" customFormat="false" ht="15.75" hidden="false" customHeight="true" outlineLevel="0" collapsed="false">
      <c r="A1665" s="144"/>
      <c r="B1665" s="144"/>
      <c r="C1665" s="144"/>
      <c r="E1665" s="145"/>
      <c r="F1665" s="145"/>
      <c r="G1665" s="146"/>
    </row>
    <row r="1666" customFormat="false" ht="15.75" hidden="false" customHeight="true" outlineLevel="0" collapsed="false">
      <c r="A1666" s="144"/>
      <c r="B1666" s="144"/>
      <c r="C1666" s="144"/>
      <c r="E1666" s="145"/>
      <c r="F1666" s="145"/>
      <c r="G1666" s="146"/>
    </row>
    <row r="1667" customFormat="false" ht="15.75" hidden="false" customHeight="true" outlineLevel="0" collapsed="false">
      <c r="A1667" s="144"/>
      <c r="B1667" s="144"/>
      <c r="C1667" s="144"/>
      <c r="E1667" s="145"/>
      <c r="F1667" s="145"/>
      <c r="G1667" s="146"/>
    </row>
    <row r="1668" customFormat="false" ht="15.75" hidden="false" customHeight="true" outlineLevel="0" collapsed="false">
      <c r="A1668" s="144"/>
      <c r="B1668" s="144"/>
      <c r="C1668" s="144"/>
      <c r="E1668" s="145"/>
      <c r="F1668" s="145"/>
      <c r="G1668" s="146"/>
    </row>
    <row r="1669" customFormat="false" ht="15.75" hidden="false" customHeight="true" outlineLevel="0" collapsed="false">
      <c r="A1669" s="144"/>
      <c r="B1669" s="144"/>
      <c r="C1669" s="144"/>
      <c r="E1669" s="145"/>
      <c r="F1669" s="145"/>
      <c r="G1669" s="146"/>
    </row>
    <row r="1670" customFormat="false" ht="15.75" hidden="false" customHeight="true" outlineLevel="0" collapsed="false">
      <c r="A1670" s="144"/>
      <c r="B1670" s="144"/>
      <c r="C1670" s="144"/>
      <c r="E1670" s="145"/>
      <c r="F1670" s="145"/>
      <c r="G1670" s="146"/>
    </row>
    <row r="1671" customFormat="false" ht="15.75" hidden="false" customHeight="true" outlineLevel="0" collapsed="false">
      <c r="A1671" s="144"/>
      <c r="B1671" s="144"/>
      <c r="C1671" s="144"/>
      <c r="E1671" s="145"/>
      <c r="F1671" s="145"/>
      <c r="G1671" s="146"/>
    </row>
    <row r="1672" customFormat="false" ht="15.75" hidden="false" customHeight="true" outlineLevel="0" collapsed="false">
      <c r="A1672" s="144"/>
      <c r="B1672" s="144"/>
      <c r="C1672" s="144"/>
      <c r="E1672" s="145"/>
      <c r="F1672" s="145"/>
      <c r="G1672" s="146"/>
    </row>
    <row r="1673" customFormat="false" ht="15.75" hidden="false" customHeight="true" outlineLevel="0" collapsed="false">
      <c r="A1673" s="144"/>
      <c r="B1673" s="144"/>
      <c r="C1673" s="144"/>
      <c r="E1673" s="145"/>
      <c r="F1673" s="145"/>
      <c r="G1673" s="146"/>
    </row>
    <row r="1674" customFormat="false" ht="15.75" hidden="false" customHeight="true" outlineLevel="0" collapsed="false">
      <c r="A1674" s="144"/>
      <c r="B1674" s="144"/>
      <c r="C1674" s="144"/>
      <c r="E1674" s="145"/>
      <c r="F1674" s="145"/>
      <c r="G1674" s="146"/>
    </row>
    <row r="1675" customFormat="false" ht="15.75" hidden="false" customHeight="true" outlineLevel="0" collapsed="false">
      <c r="A1675" s="144"/>
      <c r="B1675" s="144"/>
      <c r="C1675" s="144"/>
      <c r="E1675" s="145"/>
      <c r="F1675" s="145"/>
      <c r="G1675" s="146"/>
    </row>
    <row r="1676" customFormat="false" ht="15.75" hidden="false" customHeight="true" outlineLevel="0" collapsed="false">
      <c r="A1676" s="144"/>
      <c r="B1676" s="144"/>
      <c r="C1676" s="144"/>
      <c r="E1676" s="145"/>
      <c r="F1676" s="145"/>
      <c r="G1676" s="146"/>
    </row>
    <row r="1677" customFormat="false" ht="15.75" hidden="false" customHeight="true" outlineLevel="0" collapsed="false">
      <c r="A1677" s="144"/>
      <c r="B1677" s="144"/>
      <c r="C1677" s="144"/>
      <c r="E1677" s="145"/>
      <c r="F1677" s="145"/>
      <c r="G1677" s="146"/>
    </row>
    <row r="1678" customFormat="false" ht="15.75" hidden="false" customHeight="true" outlineLevel="0" collapsed="false">
      <c r="A1678" s="144"/>
      <c r="B1678" s="144"/>
      <c r="C1678" s="144"/>
      <c r="E1678" s="145"/>
      <c r="F1678" s="145"/>
      <c r="G1678" s="146"/>
    </row>
    <row r="1679" customFormat="false" ht="15.75" hidden="false" customHeight="true" outlineLevel="0" collapsed="false">
      <c r="A1679" s="144"/>
      <c r="B1679" s="144"/>
      <c r="C1679" s="144"/>
      <c r="E1679" s="145"/>
      <c r="F1679" s="145"/>
      <c r="G1679" s="146"/>
    </row>
    <row r="1680" customFormat="false" ht="15.75" hidden="false" customHeight="true" outlineLevel="0" collapsed="false">
      <c r="A1680" s="144"/>
      <c r="B1680" s="144"/>
      <c r="C1680" s="144"/>
      <c r="E1680" s="145"/>
      <c r="F1680" s="145"/>
      <c r="G1680" s="146"/>
    </row>
    <row r="1681" customFormat="false" ht="15.75" hidden="false" customHeight="true" outlineLevel="0" collapsed="false">
      <c r="A1681" s="144"/>
      <c r="B1681" s="144"/>
      <c r="C1681" s="144"/>
      <c r="E1681" s="145"/>
      <c r="F1681" s="145"/>
      <c r="G1681" s="146"/>
    </row>
    <row r="1682" customFormat="false" ht="15.75" hidden="false" customHeight="true" outlineLevel="0" collapsed="false">
      <c r="A1682" s="144"/>
      <c r="B1682" s="144"/>
      <c r="C1682" s="144"/>
      <c r="E1682" s="145"/>
      <c r="F1682" s="145"/>
      <c r="G1682" s="146"/>
    </row>
    <row r="1683" customFormat="false" ht="15.75" hidden="false" customHeight="true" outlineLevel="0" collapsed="false">
      <c r="A1683" s="144"/>
      <c r="B1683" s="144"/>
      <c r="C1683" s="144"/>
      <c r="E1683" s="145"/>
      <c r="F1683" s="145"/>
      <c r="G1683" s="146"/>
    </row>
    <row r="1684" customFormat="false" ht="15.75" hidden="false" customHeight="true" outlineLevel="0" collapsed="false">
      <c r="A1684" s="144"/>
      <c r="B1684" s="144"/>
      <c r="C1684" s="144"/>
      <c r="E1684" s="145"/>
      <c r="F1684" s="145"/>
      <c r="G1684" s="146"/>
    </row>
    <row r="1685" customFormat="false" ht="15.75" hidden="false" customHeight="true" outlineLevel="0" collapsed="false">
      <c r="A1685" s="144"/>
      <c r="B1685" s="144"/>
      <c r="C1685" s="144"/>
      <c r="E1685" s="145"/>
      <c r="F1685" s="145"/>
      <c r="G1685" s="146"/>
    </row>
    <row r="1686" customFormat="false" ht="15.75" hidden="false" customHeight="true" outlineLevel="0" collapsed="false">
      <c r="A1686" s="144"/>
      <c r="B1686" s="144"/>
      <c r="C1686" s="144"/>
      <c r="E1686" s="145"/>
      <c r="F1686" s="145"/>
      <c r="G1686" s="146"/>
    </row>
    <row r="1687" customFormat="false" ht="15.75" hidden="false" customHeight="true" outlineLevel="0" collapsed="false">
      <c r="A1687" s="144"/>
      <c r="B1687" s="144"/>
      <c r="C1687" s="144"/>
      <c r="E1687" s="145"/>
      <c r="F1687" s="145"/>
      <c r="G1687" s="146"/>
    </row>
    <row r="1688" customFormat="false" ht="15.75" hidden="false" customHeight="true" outlineLevel="0" collapsed="false">
      <c r="A1688" s="144"/>
      <c r="B1688" s="144"/>
      <c r="C1688" s="144"/>
      <c r="E1688" s="145"/>
      <c r="F1688" s="145"/>
      <c r="G1688" s="146"/>
    </row>
    <row r="1689" customFormat="false" ht="15.75" hidden="false" customHeight="true" outlineLevel="0" collapsed="false">
      <c r="A1689" s="144"/>
      <c r="B1689" s="144"/>
      <c r="C1689" s="144"/>
      <c r="E1689" s="145"/>
      <c r="F1689" s="145"/>
      <c r="G1689" s="146"/>
    </row>
    <row r="1690" customFormat="false" ht="15.75" hidden="false" customHeight="true" outlineLevel="0" collapsed="false">
      <c r="A1690" s="144"/>
      <c r="B1690" s="144"/>
      <c r="C1690" s="144"/>
      <c r="E1690" s="145"/>
      <c r="F1690" s="145"/>
      <c r="G1690" s="146"/>
    </row>
    <row r="1691" customFormat="false" ht="15.75" hidden="false" customHeight="true" outlineLevel="0" collapsed="false">
      <c r="A1691" s="144"/>
      <c r="B1691" s="144"/>
      <c r="C1691" s="144"/>
      <c r="E1691" s="145"/>
      <c r="F1691" s="145"/>
      <c r="G1691" s="146"/>
    </row>
    <row r="1692" customFormat="false" ht="15.75" hidden="false" customHeight="true" outlineLevel="0" collapsed="false">
      <c r="A1692" s="144"/>
      <c r="B1692" s="144"/>
      <c r="C1692" s="144"/>
      <c r="E1692" s="145"/>
      <c r="F1692" s="145"/>
      <c r="G1692" s="146"/>
    </row>
    <row r="1693" customFormat="false" ht="15.75" hidden="false" customHeight="true" outlineLevel="0" collapsed="false">
      <c r="A1693" s="144"/>
      <c r="B1693" s="144"/>
      <c r="C1693" s="144"/>
      <c r="E1693" s="145"/>
      <c r="F1693" s="145"/>
      <c r="G1693" s="146"/>
    </row>
    <row r="1694" customFormat="false" ht="15.75" hidden="false" customHeight="true" outlineLevel="0" collapsed="false">
      <c r="A1694" s="144"/>
      <c r="B1694" s="144"/>
      <c r="C1694" s="144"/>
      <c r="E1694" s="145"/>
      <c r="F1694" s="145"/>
      <c r="G1694" s="146"/>
    </row>
    <row r="1695" customFormat="false" ht="15.75" hidden="false" customHeight="true" outlineLevel="0" collapsed="false">
      <c r="A1695" s="144"/>
      <c r="B1695" s="144"/>
      <c r="C1695" s="144"/>
      <c r="E1695" s="145"/>
      <c r="F1695" s="145"/>
      <c r="G1695" s="146"/>
    </row>
    <row r="1696" customFormat="false" ht="15.75" hidden="false" customHeight="true" outlineLevel="0" collapsed="false">
      <c r="A1696" s="144"/>
      <c r="B1696" s="144"/>
      <c r="C1696" s="144"/>
      <c r="E1696" s="145"/>
      <c r="F1696" s="145"/>
      <c r="G1696" s="146"/>
    </row>
    <row r="1697" customFormat="false" ht="15.75" hidden="false" customHeight="true" outlineLevel="0" collapsed="false">
      <c r="A1697" s="144"/>
      <c r="B1697" s="144"/>
      <c r="C1697" s="144"/>
      <c r="E1697" s="145"/>
      <c r="F1697" s="145"/>
      <c r="G1697" s="146"/>
    </row>
    <row r="1698" customFormat="false" ht="15.75" hidden="false" customHeight="true" outlineLevel="0" collapsed="false">
      <c r="A1698" s="144"/>
      <c r="B1698" s="144"/>
      <c r="C1698" s="144"/>
      <c r="E1698" s="145"/>
      <c r="F1698" s="145"/>
      <c r="G1698" s="146"/>
    </row>
    <row r="1699" customFormat="false" ht="15.75" hidden="false" customHeight="true" outlineLevel="0" collapsed="false">
      <c r="A1699" s="144"/>
      <c r="B1699" s="144"/>
      <c r="C1699" s="144"/>
      <c r="E1699" s="145"/>
      <c r="F1699" s="145"/>
      <c r="G1699" s="146"/>
    </row>
    <row r="1700" customFormat="false" ht="15.75" hidden="false" customHeight="true" outlineLevel="0" collapsed="false">
      <c r="A1700" s="144"/>
      <c r="B1700" s="144"/>
      <c r="C1700" s="144"/>
      <c r="E1700" s="145"/>
      <c r="F1700" s="145"/>
      <c r="G1700" s="146"/>
    </row>
    <row r="1701" customFormat="false" ht="15.75" hidden="false" customHeight="true" outlineLevel="0" collapsed="false">
      <c r="A1701" s="144"/>
      <c r="B1701" s="144"/>
      <c r="C1701" s="144"/>
      <c r="E1701" s="145"/>
      <c r="F1701" s="145"/>
      <c r="G1701" s="146"/>
    </row>
    <row r="1702" customFormat="false" ht="15.75" hidden="false" customHeight="true" outlineLevel="0" collapsed="false">
      <c r="A1702" s="144"/>
      <c r="B1702" s="144"/>
      <c r="C1702" s="144"/>
      <c r="E1702" s="145"/>
      <c r="F1702" s="145"/>
      <c r="G1702" s="146"/>
    </row>
    <row r="1703" customFormat="false" ht="15.75" hidden="false" customHeight="true" outlineLevel="0" collapsed="false">
      <c r="A1703" s="144"/>
      <c r="B1703" s="144"/>
      <c r="C1703" s="144"/>
      <c r="E1703" s="145"/>
      <c r="F1703" s="145"/>
      <c r="G1703" s="146"/>
    </row>
    <row r="1704" customFormat="false" ht="15.75" hidden="false" customHeight="true" outlineLevel="0" collapsed="false">
      <c r="A1704" s="144"/>
      <c r="B1704" s="144"/>
      <c r="C1704" s="144"/>
      <c r="E1704" s="145"/>
      <c r="F1704" s="145"/>
      <c r="G1704" s="146"/>
    </row>
    <row r="1705" customFormat="false" ht="15.75" hidden="false" customHeight="true" outlineLevel="0" collapsed="false">
      <c r="A1705" s="144"/>
      <c r="B1705" s="144"/>
      <c r="C1705" s="144"/>
      <c r="E1705" s="145"/>
      <c r="F1705" s="145"/>
      <c r="G1705" s="146"/>
    </row>
    <row r="1706" customFormat="false" ht="15.75" hidden="false" customHeight="true" outlineLevel="0" collapsed="false">
      <c r="A1706" s="144"/>
      <c r="B1706" s="144"/>
      <c r="C1706" s="144"/>
      <c r="E1706" s="145"/>
      <c r="F1706" s="145"/>
      <c r="G1706" s="146"/>
    </row>
    <row r="1707" customFormat="false" ht="15.75" hidden="false" customHeight="true" outlineLevel="0" collapsed="false">
      <c r="A1707" s="144"/>
      <c r="B1707" s="144"/>
      <c r="C1707" s="144"/>
      <c r="E1707" s="145"/>
      <c r="F1707" s="145"/>
      <c r="G1707" s="146"/>
    </row>
    <row r="1708" customFormat="false" ht="15.75" hidden="false" customHeight="true" outlineLevel="0" collapsed="false">
      <c r="A1708" s="144"/>
      <c r="B1708" s="144"/>
      <c r="C1708" s="144"/>
      <c r="E1708" s="145"/>
      <c r="F1708" s="145"/>
      <c r="G1708" s="146"/>
    </row>
    <row r="1709" customFormat="false" ht="15.75" hidden="false" customHeight="true" outlineLevel="0" collapsed="false">
      <c r="A1709" s="144"/>
      <c r="B1709" s="144"/>
      <c r="C1709" s="144"/>
      <c r="E1709" s="145"/>
      <c r="F1709" s="145"/>
      <c r="G1709" s="146"/>
    </row>
    <row r="1710" customFormat="false" ht="15.75" hidden="false" customHeight="true" outlineLevel="0" collapsed="false">
      <c r="A1710" s="144"/>
      <c r="B1710" s="144"/>
      <c r="C1710" s="144"/>
      <c r="E1710" s="145"/>
      <c r="F1710" s="145"/>
      <c r="G1710" s="146"/>
    </row>
    <row r="1711" customFormat="false" ht="15.75" hidden="false" customHeight="true" outlineLevel="0" collapsed="false">
      <c r="A1711" s="144"/>
      <c r="B1711" s="144"/>
      <c r="C1711" s="144"/>
      <c r="E1711" s="145"/>
      <c r="F1711" s="145"/>
      <c r="G1711" s="146"/>
    </row>
    <row r="1712" customFormat="false" ht="15.75" hidden="false" customHeight="true" outlineLevel="0" collapsed="false">
      <c r="A1712" s="144"/>
      <c r="B1712" s="144"/>
      <c r="C1712" s="144"/>
      <c r="E1712" s="145"/>
      <c r="F1712" s="145"/>
      <c r="G1712" s="146"/>
    </row>
    <row r="1713" customFormat="false" ht="15.75" hidden="false" customHeight="true" outlineLevel="0" collapsed="false">
      <c r="A1713" s="144"/>
      <c r="B1713" s="144"/>
      <c r="C1713" s="144"/>
      <c r="E1713" s="145"/>
      <c r="F1713" s="145"/>
      <c r="G1713" s="146"/>
    </row>
    <row r="1714" customFormat="false" ht="15.75" hidden="false" customHeight="true" outlineLevel="0" collapsed="false">
      <c r="A1714" s="144"/>
      <c r="B1714" s="144"/>
      <c r="C1714" s="144"/>
      <c r="E1714" s="145"/>
      <c r="F1714" s="145"/>
      <c r="G1714" s="146"/>
    </row>
    <row r="1715" customFormat="false" ht="15.75" hidden="false" customHeight="true" outlineLevel="0" collapsed="false">
      <c r="A1715" s="144"/>
      <c r="B1715" s="144"/>
      <c r="C1715" s="144"/>
      <c r="E1715" s="145"/>
      <c r="F1715" s="145"/>
      <c r="G1715" s="146"/>
    </row>
    <row r="1716" customFormat="false" ht="15.75" hidden="false" customHeight="true" outlineLevel="0" collapsed="false">
      <c r="A1716" s="144"/>
      <c r="B1716" s="144"/>
      <c r="C1716" s="144"/>
      <c r="E1716" s="145"/>
      <c r="F1716" s="145"/>
      <c r="G1716" s="146"/>
    </row>
    <row r="1717" customFormat="false" ht="15.75" hidden="false" customHeight="true" outlineLevel="0" collapsed="false">
      <c r="A1717" s="144"/>
      <c r="B1717" s="144"/>
      <c r="C1717" s="144"/>
      <c r="E1717" s="145"/>
      <c r="F1717" s="145"/>
      <c r="G1717" s="146"/>
    </row>
    <row r="1718" customFormat="false" ht="15.75" hidden="false" customHeight="true" outlineLevel="0" collapsed="false">
      <c r="A1718" s="144"/>
      <c r="B1718" s="144"/>
      <c r="C1718" s="144"/>
      <c r="E1718" s="145"/>
      <c r="F1718" s="145"/>
      <c r="G1718" s="146"/>
    </row>
    <row r="1719" customFormat="false" ht="15.75" hidden="false" customHeight="true" outlineLevel="0" collapsed="false">
      <c r="A1719" s="144"/>
      <c r="B1719" s="144"/>
      <c r="C1719" s="144"/>
      <c r="E1719" s="145"/>
      <c r="F1719" s="145"/>
      <c r="G1719" s="146"/>
    </row>
    <row r="1720" customFormat="false" ht="15.75" hidden="false" customHeight="true" outlineLevel="0" collapsed="false">
      <c r="A1720" s="144"/>
      <c r="B1720" s="144"/>
      <c r="C1720" s="144"/>
      <c r="E1720" s="145"/>
      <c r="F1720" s="145"/>
      <c r="G1720" s="146"/>
    </row>
    <row r="1721" customFormat="false" ht="15.75" hidden="false" customHeight="true" outlineLevel="0" collapsed="false">
      <c r="A1721" s="144"/>
      <c r="B1721" s="144"/>
      <c r="C1721" s="144"/>
      <c r="E1721" s="145"/>
      <c r="F1721" s="145"/>
      <c r="G1721" s="146"/>
    </row>
    <row r="1722" customFormat="false" ht="15.75" hidden="false" customHeight="true" outlineLevel="0" collapsed="false">
      <c r="A1722" s="144"/>
      <c r="B1722" s="144"/>
      <c r="C1722" s="144"/>
      <c r="E1722" s="145"/>
      <c r="F1722" s="145"/>
      <c r="G1722" s="146"/>
    </row>
    <row r="1723" customFormat="false" ht="15.75" hidden="false" customHeight="true" outlineLevel="0" collapsed="false">
      <c r="A1723" s="144"/>
      <c r="B1723" s="144"/>
      <c r="C1723" s="144"/>
      <c r="E1723" s="145"/>
      <c r="F1723" s="145"/>
      <c r="G1723" s="146"/>
    </row>
    <row r="1724" customFormat="false" ht="15.75" hidden="false" customHeight="true" outlineLevel="0" collapsed="false">
      <c r="A1724" s="144"/>
      <c r="B1724" s="144"/>
      <c r="C1724" s="144"/>
      <c r="E1724" s="145"/>
      <c r="F1724" s="145"/>
      <c r="G1724" s="146"/>
    </row>
    <row r="1725" customFormat="false" ht="15.75" hidden="false" customHeight="true" outlineLevel="0" collapsed="false">
      <c r="A1725" s="144"/>
      <c r="B1725" s="144"/>
      <c r="C1725" s="144"/>
      <c r="E1725" s="145"/>
      <c r="F1725" s="145"/>
      <c r="G1725" s="146"/>
    </row>
    <row r="1726" customFormat="false" ht="15.75" hidden="false" customHeight="true" outlineLevel="0" collapsed="false">
      <c r="A1726" s="144"/>
      <c r="B1726" s="144"/>
      <c r="C1726" s="144"/>
      <c r="E1726" s="145"/>
      <c r="F1726" s="145"/>
      <c r="G1726" s="146"/>
    </row>
    <row r="1727" customFormat="false" ht="15.75" hidden="false" customHeight="true" outlineLevel="0" collapsed="false">
      <c r="A1727" s="144"/>
      <c r="B1727" s="144"/>
      <c r="C1727" s="144"/>
      <c r="E1727" s="145"/>
      <c r="F1727" s="145"/>
      <c r="G1727" s="146"/>
    </row>
    <row r="1728" customFormat="false" ht="15.75" hidden="false" customHeight="true" outlineLevel="0" collapsed="false">
      <c r="A1728" s="144"/>
      <c r="B1728" s="144"/>
      <c r="C1728" s="144"/>
      <c r="E1728" s="145"/>
      <c r="F1728" s="145"/>
      <c r="G1728" s="146"/>
    </row>
    <row r="1729" customFormat="false" ht="15.75" hidden="false" customHeight="true" outlineLevel="0" collapsed="false">
      <c r="A1729" s="144"/>
      <c r="B1729" s="144"/>
      <c r="C1729" s="144"/>
      <c r="E1729" s="145"/>
      <c r="F1729" s="145"/>
      <c r="G1729" s="146"/>
    </row>
    <row r="1730" customFormat="false" ht="15.75" hidden="false" customHeight="true" outlineLevel="0" collapsed="false">
      <c r="A1730" s="144"/>
      <c r="B1730" s="144"/>
      <c r="C1730" s="144"/>
      <c r="E1730" s="145"/>
      <c r="F1730" s="145"/>
      <c r="G1730" s="146"/>
    </row>
    <row r="1731" customFormat="false" ht="15.75" hidden="false" customHeight="true" outlineLevel="0" collapsed="false">
      <c r="A1731" s="144"/>
      <c r="B1731" s="144"/>
      <c r="C1731" s="144"/>
      <c r="E1731" s="145"/>
      <c r="F1731" s="145"/>
      <c r="G1731" s="146"/>
    </row>
    <row r="1732" customFormat="false" ht="15.75" hidden="false" customHeight="true" outlineLevel="0" collapsed="false">
      <c r="A1732" s="144"/>
      <c r="B1732" s="144"/>
      <c r="C1732" s="144"/>
      <c r="E1732" s="145"/>
      <c r="F1732" s="145"/>
      <c r="G1732" s="146"/>
    </row>
    <row r="1733" customFormat="false" ht="15.75" hidden="false" customHeight="true" outlineLevel="0" collapsed="false">
      <c r="A1733" s="144"/>
      <c r="B1733" s="144"/>
      <c r="C1733" s="144"/>
      <c r="E1733" s="145"/>
      <c r="F1733" s="145"/>
      <c r="G1733" s="146"/>
    </row>
    <row r="1734" customFormat="false" ht="15.75" hidden="false" customHeight="true" outlineLevel="0" collapsed="false">
      <c r="A1734" s="144"/>
      <c r="B1734" s="144"/>
      <c r="C1734" s="144"/>
      <c r="E1734" s="145"/>
      <c r="F1734" s="145"/>
      <c r="G1734" s="14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15625" defaultRowHeight="12.8" customHeight="true" zeroHeight="false" outlineLevelRow="0" outlineLevelCol="0"/>
  <cols>
    <col collapsed="false" customWidth="true" hidden="false" outlineLevel="0" max="1" min="1" style="1" width="21.35"/>
    <col collapsed="false" customWidth="true" hidden="false" outlineLevel="0" max="2" min="2" style="1" width="18.14"/>
    <col collapsed="false" customWidth="true" hidden="false" outlineLevel="0" max="3" min="3" style="1" width="24.57"/>
    <col collapsed="false" customWidth="true" hidden="false" outlineLevel="0" max="4" min="4" style="1" width="12.7"/>
    <col collapsed="false" customWidth="true" hidden="false" outlineLevel="0" max="5" min="5" style="1" width="22.88"/>
    <col collapsed="false" customWidth="true" hidden="false" outlineLevel="0" max="6" min="6" style="1" width="25.58"/>
  </cols>
  <sheetData>
    <row r="1" customFormat="false" ht="12.8" hidden="false" customHeight="true" outlineLevel="0" collapsed="false">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c r="IW1" s="134"/>
    </row>
    <row r="2" customFormat="false" ht="33.65" hidden="false" customHeight="true" outlineLevel="0" collapsed="false">
      <c r="A2" s="134"/>
      <c r="B2" s="134"/>
      <c r="C2" s="134"/>
      <c r="D2" s="134" t="s">
        <v>2461</v>
      </c>
      <c r="E2" s="134" t="s">
        <v>2462</v>
      </c>
      <c r="F2" s="134" t="s">
        <v>2463</v>
      </c>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134"/>
      <c r="DI2" s="134"/>
      <c r="DJ2" s="134"/>
      <c r="DK2" s="134"/>
      <c r="DL2" s="134"/>
      <c r="DM2" s="134"/>
      <c r="DN2" s="134"/>
      <c r="DO2" s="134"/>
      <c r="DP2" s="134"/>
      <c r="DQ2" s="134"/>
      <c r="DR2" s="134"/>
      <c r="DS2" s="134"/>
      <c r="DT2" s="134"/>
      <c r="DU2" s="134"/>
      <c r="DV2" s="134"/>
      <c r="DW2" s="134"/>
      <c r="DX2" s="134"/>
      <c r="DY2" s="134"/>
      <c r="DZ2" s="134"/>
      <c r="EA2" s="134"/>
      <c r="EB2" s="134"/>
      <c r="EC2" s="134"/>
      <c r="ED2" s="134"/>
      <c r="EE2" s="134"/>
      <c r="EF2" s="134"/>
      <c r="EG2" s="134"/>
      <c r="EH2" s="134"/>
      <c r="EI2" s="134"/>
      <c r="EJ2" s="134"/>
      <c r="EK2" s="134"/>
      <c r="EL2" s="134"/>
      <c r="EM2" s="134"/>
      <c r="EN2" s="134"/>
      <c r="EO2" s="134"/>
      <c r="EP2" s="134"/>
      <c r="EQ2" s="134"/>
      <c r="ER2" s="134"/>
      <c r="ES2" s="134"/>
      <c r="ET2" s="134"/>
      <c r="EU2" s="134"/>
      <c r="EV2" s="134"/>
      <c r="EW2" s="134"/>
      <c r="EX2" s="134"/>
      <c r="EY2" s="134"/>
      <c r="EZ2" s="134"/>
      <c r="FA2" s="134"/>
      <c r="FB2" s="134"/>
      <c r="FC2" s="134"/>
      <c r="FD2" s="134"/>
      <c r="FE2" s="134"/>
      <c r="FF2" s="134"/>
      <c r="FG2" s="134"/>
      <c r="FH2" s="134"/>
      <c r="FI2" s="134"/>
      <c r="FJ2" s="134"/>
      <c r="FK2" s="134"/>
      <c r="FL2" s="134"/>
      <c r="FM2" s="134"/>
      <c r="FN2" s="134"/>
      <c r="FO2" s="134"/>
      <c r="FP2" s="134"/>
      <c r="FQ2" s="134"/>
      <c r="FR2" s="134"/>
      <c r="FS2" s="134"/>
      <c r="FT2" s="134"/>
      <c r="FU2" s="134"/>
      <c r="FV2" s="134"/>
      <c r="FW2" s="134"/>
      <c r="FX2" s="134"/>
      <c r="FY2" s="134"/>
      <c r="FZ2" s="134"/>
      <c r="GA2" s="134"/>
      <c r="GB2" s="134"/>
      <c r="GC2" s="134"/>
      <c r="GD2" s="134"/>
      <c r="GE2" s="134"/>
      <c r="GF2" s="134"/>
      <c r="GG2" s="134"/>
      <c r="GH2" s="134"/>
      <c r="GI2" s="134"/>
      <c r="GJ2" s="134"/>
      <c r="GK2" s="134"/>
      <c r="GL2" s="134"/>
      <c r="GM2" s="134"/>
      <c r="GN2" s="134"/>
      <c r="GO2" s="134"/>
      <c r="GP2" s="134"/>
      <c r="GQ2" s="134"/>
      <c r="GR2" s="134"/>
      <c r="GS2" s="134"/>
      <c r="GT2" s="134"/>
      <c r="GU2" s="134"/>
      <c r="GV2" s="134"/>
      <c r="GW2" s="134"/>
      <c r="GX2" s="134"/>
      <c r="GY2" s="134"/>
      <c r="GZ2" s="134"/>
      <c r="HA2" s="134"/>
      <c r="HB2" s="134"/>
      <c r="HC2" s="134"/>
      <c r="HD2" s="134"/>
      <c r="HE2" s="134"/>
      <c r="HF2" s="134"/>
      <c r="HG2" s="134"/>
      <c r="HH2" s="134"/>
      <c r="HI2" s="134"/>
      <c r="HJ2" s="134"/>
      <c r="HK2" s="134"/>
      <c r="HL2" s="134"/>
      <c r="HM2" s="134"/>
      <c r="HN2" s="134"/>
      <c r="HO2" s="134"/>
      <c r="HP2" s="134"/>
      <c r="HQ2" s="134"/>
      <c r="HR2" s="134"/>
      <c r="HS2" s="134"/>
      <c r="HT2" s="134"/>
      <c r="HU2" s="134"/>
      <c r="HV2" s="134"/>
      <c r="HW2" s="134"/>
      <c r="HX2" s="134"/>
      <c r="HY2" s="134"/>
      <c r="HZ2" s="134"/>
      <c r="IA2" s="134"/>
      <c r="IB2" s="134"/>
      <c r="IC2" s="134"/>
      <c r="ID2" s="134"/>
      <c r="IE2" s="134"/>
      <c r="IF2" s="134"/>
      <c r="IG2" s="134"/>
      <c r="IH2" s="134"/>
      <c r="II2" s="134"/>
      <c r="IJ2" s="134"/>
      <c r="IK2" s="134"/>
      <c r="IL2" s="134"/>
      <c r="IM2" s="134"/>
      <c r="IN2" s="134"/>
      <c r="IO2" s="134"/>
      <c r="IP2" s="134"/>
      <c r="IQ2" s="134"/>
      <c r="IR2" s="134"/>
      <c r="IS2" s="134"/>
      <c r="IT2" s="134"/>
      <c r="IU2" s="134"/>
      <c r="IV2" s="134"/>
      <c r="IW2" s="134"/>
    </row>
    <row r="3" customFormat="false" ht="12.8" hidden="false" customHeight="true" outlineLevel="0" collapsed="false">
      <c r="A3" s="1" t="s">
        <v>19</v>
      </c>
      <c r="B3" s="68" t="n">
        <f aca="false">'Overall Estimates'!C18</f>
        <v>0.106170533521145</v>
      </c>
      <c r="C3" s="68" t="n">
        <f aca="false">'Overall Estimates'!D18</f>
        <v>0.671323125816497</v>
      </c>
      <c r="D3" s="1" t="n">
        <f aca="false">(0.37*D6)+(0.32*D4)+(0.2*D8)+(0.06*D5)+(0.05*D56)</f>
        <v>0.72195</v>
      </c>
      <c r="E3" s="1" t="n">
        <f aca="false">B3*D3</f>
        <v>0.0766498166755908</v>
      </c>
      <c r="F3" s="1" t="n">
        <f aca="false">C3*E3</f>
        <v>0.0514567945239191</v>
      </c>
    </row>
    <row r="4" customFormat="false" ht="12.8" hidden="false" customHeight="true" outlineLevel="0" collapsed="false">
      <c r="A4" s="20" t="s">
        <v>20</v>
      </c>
      <c r="B4" s="68" t="n">
        <f aca="false">'Overall Estimates'!C19</f>
        <v>0.00172473101273839</v>
      </c>
      <c r="C4" s="68" t="n">
        <f aca="false">'Overall Estimates'!D19</f>
        <v>0.001921862718882</v>
      </c>
      <c r="D4" s="1" t="n">
        <v>0.68</v>
      </c>
      <c r="E4" s="1" t="n">
        <f aca="false">B4*D4</f>
        <v>0.00117281708866211</v>
      </c>
      <c r="F4" s="1" t="n">
        <f aca="false">C4*E4</f>
        <v>2.25399343876742E-006</v>
      </c>
    </row>
    <row r="5" customFormat="false" ht="12.8" hidden="false" customHeight="true" outlineLevel="0" collapsed="false">
      <c r="A5" s="20" t="s">
        <v>2464</v>
      </c>
      <c r="B5" s="68" t="n">
        <f aca="false">'Overall Estimates'!C23</f>
        <v>0.0361284674978606</v>
      </c>
      <c r="C5" s="68" t="n">
        <f aca="false">'Overall Estimates'!D23</f>
        <v>0.0440505114829553</v>
      </c>
      <c r="D5" s="1" t="n">
        <v>0.73</v>
      </c>
      <c r="E5" s="1" t="n">
        <f aca="false">B5*D5</f>
        <v>0.0263737812734382</v>
      </c>
      <c r="F5" s="1" t="n">
        <f aca="false">C5*E5</f>
        <v>0.00116177855483454</v>
      </c>
    </row>
    <row r="6" customFormat="false" ht="12.8" hidden="false" customHeight="true" outlineLevel="0" collapsed="false">
      <c r="A6" s="20" t="s">
        <v>25</v>
      </c>
      <c r="B6" s="68" t="n">
        <f aca="false">'Overall Estimates'!C25</f>
        <v>0.0534872069048205</v>
      </c>
      <c r="C6" s="68" t="n">
        <f aca="false">'Overall Estimates'!D25</f>
        <v>0.0582966832750087</v>
      </c>
      <c r="D6" s="1" t="n">
        <v>0.74</v>
      </c>
      <c r="E6" s="1" t="n">
        <f aca="false">B6*D6</f>
        <v>0.0395805331095672</v>
      </c>
      <c r="F6" s="1" t="n">
        <f aca="false">C6*E6</f>
        <v>0.00230741380254443</v>
      </c>
    </row>
    <row r="7" customFormat="false" ht="12.8" hidden="false" customHeight="true" outlineLevel="0" collapsed="false">
      <c r="A7" s="20" t="s">
        <v>2465</v>
      </c>
      <c r="B7" s="68" t="n">
        <f aca="false">'Overall Estimates'!C26</f>
        <v>0.142939169887632</v>
      </c>
      <c r="C7" s="68" t="n">
        <f aca="false">'Overall Estimates'!D26</f>
        <v>0.222326655772026</v>
      </c>
      <c r="D7" s="1" t="n">
        <v>0.73</v>
      </c>
      <c r="E7" s="1" t="n">
        <f aca="false">B7*D7</f>
        <v>0.104345594017972</v>
      </c>
      <c r="F7" s="1" t="n">
        <f aca="false">C7*E7</f>
        <v>0.0231988069625612</v>
      </c>
    </row>
    <row r="8" customFormat="false" ht="12.8" hidden="false" customHeight="true" outlineLevel="0" collapsed="false">
      <c r="A8" s="20" t="s">
        <v>21</v>
      </c>
      <c r="B8" s="68" t="n">
        <f aca="false">'Overall Estimates'!C26</f>
        <v>0.142939169887632</v>
      </c>
      <c r="C8" s="68" t="n">
        <f aca="false">'Overall Estimates'!D26</f>
        <v>0.222326655772026</v>
      </c>
      <c r="D8" s="1" t="n">
        <v>0.76</v>
      </c>
      <c r="E8" s="1" t="n">
        <f aca="false">B8*D8</f>
        <v>0.108633769114601</v>
      </c>
      <c r="F8" s="1" t="n">
        <f aca="false">C8*E8</f>
        <v>0.0241521825911596</v>
      </c>
    </row>
    <row r="9" customFormat="false" ht="12.8" hidden="false" customHeight="true" outlineLevel="0" collapsed="false">
      <c r="A9" s="20" t="s">
        <v>26</v>
      </c>
      <c r="B9" s="68" t="n">
        <f aca="false">'Overall Estimates'!C28</f>
        <v>8.06894055169328E-005</v>
      </c>
      <c r="C9" s="68" t="n">
        <f aca="false">'Overall Estimates'!D28</f>
        <v>8.78762791292385E-005</v>
      </c>
      <c r="D9" s="1" t="n">
        <v>0.75</v>
      </c>
      <c r="E9" s="1" t="n">
        <f aca="false">B9*D9</f>
        <v>6.05170541376996E-005</v>
      </c>
      <c r="F9" s="1" t="n">
        <f aca="false">C9*E9</f>
        <v>5.31801354148373E-009</v>
      </c>
    </row>
    <row r="10" customFormat="false" ht="12.8" hidden="false" customHeight="true" outlineLevel="0" collapsed="false">
      <c r="A10" s="23" t="s">
        <v>28</v>
      </c>
      <c r="B10" s="68" t="n">
        <f aca="false">'Overall Estimates'!C27</f>
        <v>1.28282043747111E-005</v>
      </c>
      <c r="C10" s="68" t="n">
        <f aca="false">'Overall Estimates'!D27</f>
        <v>1.39707915944735E-005</v>
      </c>
      <c r="D10" s="1" t="n">
        <v>0.56</v>
      </c>
      <c r="E10" s="1" t="n">
        <f aca="false">B10*D10</f>
        <v>7.18379444983822E-006</v>
      </c>
      <c r="F10" s="1" t="n">
        <f aca="false">C10*E10</f>
        <v>1.00363295116225E-010</v>
      </c>
    </row>
    <row r="11" customFormat="false" ht="13.8" hidden="false" customHeight="true" outlineLevel="0" collapsed="false">
      <c r="A11" s="24" t="s">
        <v>35</v>
      </c>
      <c r="B11" s="68" t="n">
        <f aca="false">'Overall Estimates'!C34</f>
        <v>2.10382551745262E-005</v>
      </c>
      <c r="C11" s="68" t="n">
        <f aca="false">'Overall Estimates'!D34</f>
        <v>2.29120982149366E-005</v>
      </c>
      <c r="D11" s="1" t="n">
        <v>0.56</v>
      </c>
      <c r="E11" s="1" t="n">
        <f aca="false">B11*D11</f>
        <v>1.17814228977347E-005</v>
      </c>
      <c r="F11" s="1" t="n">
        <f aca="false">C11*E11</f>
        <v>2.699371185446E-010</v>
      </c>
    </row>
    <row r="12" customFormat="false" ht="12.8" hidden="false" customHeight="true" outlineLevel="0" collapsed="false">
      <c r="A12" s="20" t="s">
        <v>31</v>
      </c>
      <c r="B12" s="68" t="n">
        <f aca="false">'Overall Estimates'!C35</f>
        <v>9.15933792354372E-005</v>
      </c>
      <c r="C12" s="68" t="n">
        <f aca="false">'Overall Estimates'!D35</f>
        <v>9.97514519845409E-005</v>
      </c>
      <c r="D12" s="1" t="n">
        <v>0.56</v>
      </c>
      <c r="E12" s="1" t="n">
        <f aca="false">B12*D12</f>
        <v>5.12922923718449E-005</v>
      </c>
      <c r="F12" s="1" t="n">
        <f aca="false">C12*E12</f>
        <v>5.11648063970712E-009</v>
      </c>
    </row>
    <row r="13" customFormat="false" ht="12.8" hidden="false" customHeight="true" outlineLevel="0" collapsed="false">
      <c r="A13" s="20" t="s">
        <v>41</v>
      </c>
      <c r="B13" s="68" t="n">
        <f aca="false">'Overall Estimates'!C40</f>
        <v>1.45728401696718E-005</v>
      </c>
      <c r="C13" s="68" t="n">
        <f aca="false">'Overall Estimates'!D40</f>
        <v>1.58708192513219E-005</v>
      </c>
      <c r="D13" s="1" t="n">
        <v>0.56</v>
      </c>
      <c r="E13" s="1" t="n">
        <f aca="false">B13*D13</f>
        <v>8.16079049501621E-006</v>
      </c>
      <c r="F13" s="1" t="n">
        <f aca="false">C13*E13</f>
        <v>1.29518430894308E-010</v>
      </c>
    </row>
    <row r="14" customFormat="false" ht="12.8" hidden="false" customHeight="true" outlineLevel="0" collapsed="false">
      <c r="A14" s="20" t="s">
        <v>29</v>
      </c>
      <c r="B14" s="68" t="n">
        <f aca="false">'Overall Estimates'!C40</f>
        <v>1.45728401696718E-005</v>
      </c>
      <c r="C14" s="68" t="n">
        <f aca="false">'Overall Estimates'!D40</f>
        <v>1.58708192513219E-005</v>
      </c>
      <c r="D14" s="1" t="n">
        <v>0.56</v>
      </c>
      <c r="E14" s="1" t="n">
        <f aca="false">B14*D14</f>
        <v>8.16079049501621E-006</v>
      </c>
      <c r="F14" s="1" t="n">
        <f aca="false">C14*E14</f>
        <v>1.29518430894308E-010</v>
      </c>
    </row>
    <row r="15" customFormat="false" ht="12.8" hidden="false" customHeight="true" outlineLevel="0" collapsed="false">
      <c r="A15" s="20" t="s">
        <v>30</v>
      </c>
      <c r="B15" s="68" t="n">
        <f aca="false">'Overall Estimates'!C40</f>
        <v>1.45728401696718E-005</v>
      </c>
      <c r="C15" s="68" t="n">
        <f aca="false">'Overall Estimates'!D40</f>
        <v>1.58708192513219E-005</v>
      </c>
      <c r="D15" s="1" t="n">
        <v>0.56</v>
      </c>
      <c r="E15" s="1" t="n">
        <f aca="false">B15*D15</f>
        <v>8.16079049501621E-006</v>
      </c>
      <c r="F15" s="1" t="n">
        <f aca="false">C15*E15</f>
        <v>1.29518430894308E-010</v>
      </c>
    </row>
    <row r="16" customFormat="false" ht="12.8" hidden="false" customHeight="true" outlineLevel="0" collapsed="false">
      <c r="A16" s="20" t="s">
        <v>32</v>
      </c>
      <c r="B16" s="68" t="n">
        <f aca="false">'Overall Estimates'!C40</f>
        <v>1.45728401696718E-005</v>
      </c>
      <c r="C16" s="68" t="n">
        <f aca="false">'Overall Estimates'!D40</f>
        <v>1.58708192513219E-005</v>
      </c>
      <c r="D16" s="1" t="n">
        <v>0.56</v>
      </c>
      <c r="E16" s="1" t="n">
        <f aca="false">B16*D16</f>
        <v>8.16079049501621E-006</v>
      </c>
      <c r="F16" s="1" t="n">
        <f aca="false">C16*E16</f>
        <v>1.29518430894308E-010</v>
      </c>
    </row>
    <row r="17" customFormat="false" ht="12.8" hidden="false" customHeight="true" outlineLevel="0" collapsed="false">
      <c r="A17" s="20" t="s">
        <v>33</v>
      </c>
      <c r="B17" s="68" t="n">
        <f aca="false">'Overall Estimates'!C40</f>
        <v>1.45728401696718E-005</v>
      </c>
      <c r="C17" s="68" t="n">
        <f aca="false">'Overall Estimates'!D40</f>
        <v>1.58708192513219E-005</v>
      </c>
      <c r="D17" s="1" t="n">
        <v>0.56</v>
      </c>
      <c r="E17" s="1" t="n">
        <f aca="false">B17*D17</f>
        <v>8.16079049501621E-006</v>
      </c>
      <c r="F17" s="1" t="n">
        <f aca="false">C17*E17</f>
        <v>1.29518430894308E-010</v>
      </c>
    </row>
    <row r="18" customFormat="false" ht="12.8" hidden="false" customHeight="true" outlineLevel="0" collapsed="false">
      <c r="A18" s="20" t="s">
        <v>34</v>
      </c>
      <c r="B18" s="68" t="n">
        <f aca="false">'Overall Estimates'!C40</f>
        <v>1.45728401696718E-005</v>
      </c>
      <c r="C18" s="68" t="n">
        <f aca="false">'Overall Estimates'!D40</f>
        <v>1.58708192513219E-005</v>
      </c>
      <c r="D18" s="1" t="n">
        <v>0.56</v>
      </c>
      <c r="E18" s="1" t="n">
        <f aca="false">B18*D18</f>
        <v>8.16079049501621E-006</v>
      </c>
      <c r="F18" s="1" t="n">
        <f aca="false">C18*E18</f>
        <v>1.29518430894308E-010</v>
      </c>
    </row>
    <row r="19" customFormat="false" ht="12.8" hidden="false" customHeight="true" outlineLevel="0" collapsed="false">
      <c r="A19" s="20" t="s">
        <v>36</v>
      </c>
      <c r="B19" s="68" t="n">
        <f aca="false">'Overall Estimates'!C40</f>
        <v>1.45728401696718E-005</v>
      </c>
      <c r="C19" s="68" t="n">
        <f aca="false">'Overall Estimates'!D40</f>
        <v>1.58708192513219E-005</v>
      </c>
      <c r="D19" s="1" t="n">
        <v>0.56</v>
      </c>
      <c r="E19" s="1" t="n">
        <f aca="false">B19*D19</f>
        <v>8.16079049501621E-006</v>
      </c>
      <c r="F19" s="1" t="n">
        <f aca="false">C19*E19</f>
        <v>1.29518430894308E-010</v>
      </c>
    </row>
    <row r="20" customFormat="false" ht="12.8" hidden="false" customHeight="true" outlineLevel="0" collapsed="false">
      <c r="A20" s="20" t="s">
        <v>37</v>
      </c>
      <c r="B20" s="68" t="e">
        <f aca="false">#REF!</f>
        <v>#REF!</v>
      </c>
      <c r="C20" s="68" t="e">
        <f aca="false">#REF!</f>
        <v>#REF!</v>
      </c>
      <c r="D20" s="1" t="n">
        <v>0.56</v>
      </c>
      <c r="E20" s="1" t="e">
        <f aca="false">B20*D20</f>
        <v>#REF!</v>
      </c>
      <c r="F20" s="1" t="e">
        <f aca="false">C20*E20</f>
        <v>#REF!</v>
      </c>
    </row>
    <row r="21" customFormat="false" ht="12.8" hidden="false" customHeight="true" outlineLevel="0" collapsed="false">
      <c r="A21" s="20" t="s">
        <v>38</v>
      </c>
      <c r="B21" s="68" t="e">
        <f aca="false">#REF!</f>
        <v>#REF!</v>
      </c>
      <c r="C21" s="68" t="e">
        <f aca="false">#REF!</f>
        <v>#REF!</v>
      </c>
      <c r="D21" s="1" t="n">
        <v>0.56</v>
      </c>
      <c r="E21" s="1" t="e">
        <f aca="false">B21*D21</f>
        <v>#REF!</v>
      </c>
      <c r="F21" s="1" t="e">
        <f aca="false">C21*E21</f>
        <v>#REF!</v>
      </c>
    </row>
    <row r="22" customFormat="false" ht="12.8" hidden="false" customHeight="true" outlineLevel="0" collapsed="false">
      <c r="A22" s="20" t="s">
        <v>39</v>
      </c>
      <c r="B22" s="68" t="e">
        <f aca="false">#REF!</f>
        <v>#REF!</v>
      </c>
      <c r="C22" s="68" t="e">
        <f aca="false">#REF!</f>
        <v>#REF!</v>
      </c>
      <c r="D22" s="1" t="n">
        <v>0.56</v>
      </c>
      <c r="E22" s="1" t="e">
        <f aca="false">B22*D22</f>
        <v>#REF!</v>
      </c>
      <c r="F22" s="1" t="e">
        <f aca="false">C22*E22</f>
        <v>#REF!</v>
      </c>
    </row>
    <row r="23" customFormat="false" ht="12.8" hidden="false" customHeight="true" outlineLevel="0" collapsed="false">
      <c r="A23" s="20" t="s">
        <v>40</v>
      </c>
      <c r="B23" s="68" t="e">
        <f aca="false">#REF!</f>
        <v>#REF!</v>
      </c>
      <c r="C23" s="68" t="e">
        <f aca="false">#REF!</f>
        <v>#REF!</v>
      </c>
      <c r="D23" s="1" t="n">
        <v>0.56</v>
      </c>
      <c r="E23" s="1" t="e">
        <f aca="false">B23*D23</f>
        <v>#REF!</v>
      </c>
      <c r="F23" s="1" t="e">
        <f aca="false">C23*E23</f>
        <v>#REF!</v>
      </c>
    </row>
    <row r="24" customFormat="false" ht="12.8" hidden="false" customHeight="true" outlineLevel="0" collapsed="false">
      <c r="A24" s="20" t="s">
        <v>22</v>
      </c>
      <c r="B24" s="68" t="e">
        <f aca="false">#REF!</f>
        <v>#REF!</v>
      </c>
      <c r="C24" s="68" t="e">
        <f aca="false">#REF!</f>
        <v>#REF!</v>
      </c>
      <c r="D24" s="1" t="n">
        <v>0.91</v>
      </c>
      <c r="E24" s="1" t="e">
        <f aca="false">B24*D24</f>
        <v>#REF!</v>
      </c>
      <c r="F24" s="1" t="e">
        <f aca="false">C24*E24</f>
        <v>#REF!</v>
      </c>
    </row>
    <row r="25" customFormat="false" ht="12.8" hidden="false" customHeight="true" outlineLevel="0" collapsed="false">
      <c r="A25" s="20" t="s">
        <v>2466</v>
      </c>
      <c r="B25" s="68" t="n">
        <f aca="false">'Overall Estimates'!C41</f>
        <v>36.6181621363608</v>
      </c>
      <c r="C25" s="68" t="n">
        <f aca="false">'Overall Estimates'!D41</f>
        <v>39.5476151072697</v>
      </c>
      <c r="D25" s="1" t="n">
        <v>0.695</v>
      </c>
      <c r="E25" s="1" t="n">
        <f aca="false">B25*D25</f>
        <v>25.4496226847708</v>
      </c>
      <c r="F25" s="1" t="n">
        <f aca="false">C25*E25</f>
        <v>1006.47188256256</v>
      </c>
    </row>
    <row r="26" customFormat="false" ht="12.8" hidden="false" customHeight="true" outlineLevel="0" collapsed="false">
      <c r="A26" s="69" t="s">
        <v>239</v>
      </c>
      <c r="B26" s="68" t="n">
        <f aca="false">'Overall Estimates'!C42</f>
        <v>0.181223153853056</v>
      </c>
      <c r="C26" s="68" t="n">
        <f aca="false">'Overall Estimates'!D42</f>
        <v>2.04933892344174</v>
      </c>
      <c r="D26" s="1" t="n">
        <v>0.695</v>
      </c>
      <c r="E26" s="1" t="n">
        <f aca="false">B26*D26</f>
        <v>0.125950091927874</v>
      </c>
      <c r="F26" s="1" t="n">
        <f aca="false">C26*E26</f>
        <v>0.258114425798857</v>
      </c>
    </row>
    <row r="27" customFormat="false" ht="12.8" hidden="false" customHeight="true" outlineLevel="0" collapsed="false">
      <c r="A27" s="69" t="s">
        <v>213</v>
      </c>
      <c r="B27" s="68" t="n">
        <f aca="false">'Overall Estimates'!C43</f>
        <v>0.153860510592743</v>
      </c>
      <c r="C27" s="68" t="n">
        <f aca="false">'Overall Estimates'!D43</f>
        <v>0.166169351440162</v>
      </c>
      <c r="D27" s="1" t="n">
        <v>0.695</v>
      </c>
      <c r="E27" s="1" t="n">
        <f aca="false">B27*D27</f>
        <v>0.106933054861956</v>
      </c>
      <c r="F27" s="1" t="n">
        <f aca="false">C27*E27</f>
        <v>0.0177689963739265</v>
      </c>
    </row>
    <row r="28" customFormat="false" ht="12.8" hidden="false" customHeight="true" outlineLevel="0" collapsed="false">
      <c r="A28" s="69" t="s">
        <v>2467</v>
      </c>
      <c r="B28" s="68" t="n">
        <f aca="false">'Overall Estimates'!C44</f>
        <v>1.63563123313303</v>
      </c>
      <c r="C28" s="68" t="n">
        <f aca="false">'Overall Estimates'!D44</f>
        <v>13.8970328547309</v>
      </c>
      <c r="D28" s="1" t="n">
        <v>0.695</v>
      </c>
      <c r="E28" s="1" t="n">
        <f aca="false">B28*D28</f>
        <v>1.13676370702745</v>
      </c>
      <c r="F28" s="1" t="n">
        <f aca="false">C28*E28</f>
        <v>15.7976425846263</v>
      </c>
    </row>
    <row r="29" customFormat="false" ht="12.8" hidden="false" customHeight="true" outlineLevel="0" collapsed="false">
      <c r="A29" s="69" t="s">
        <v>215</v>
      </c>
      <c r="B29" s="68" t="e">
        <f aca="false">#REF!</f>
        <v>#REF!</v>
      </c>
      <c r="C29" s="68" t="e">
        <f aca="false">#REF!</f>
        <v>#REF!</v>
      </c>
      <c r="D29" s="1" t="n">
        <v>0.695</v>
      </c>
      <c r="E29" s="1" t="e">
        <f aca="false">B29*D29</f>
        <v>#REF!</v>
      </c>
      <c r="F29" s="1" t="e">
        <f aca="false">C29*E29</f>
        <v>#REF!</v>
      </c>
    </row>
    <row r="30" customFormat="false" ht="12.8" hidden="false" customHeight="true" outlineLevel="0" collapsed="false">
      <c r="A30" s="69" t="s">
        <v>2468</v>
      </c>
      <c r="B30" s="68" t="e">
        <f aca="false">#REF!</f>
        <v>#REF!</v>
      </c>
      <c r="C30" s="68" t="e">
        <f aca="false">#REF!</f>
        <v>#REF!</v>
      </c>
      <c r="D30" s="1" t="n">
        <v>0.695</v>
      </c>
      <c r="E30" s="1" t="e">
        <f aca="false">B30*D30</f>
        <v>#REF!</v>
      </c>
      <c r="F30" s="1" t="e">
        <f aca="false">C30*E30</f>
        <v>#REF!</v>
      </c>
    </row>
    <row r="31" customFormat="false" ht="12.8" hidden="false" customHeight="true" outlineLevel="0" collapsed="false">
      <c r="A31" s="69" t="s">
        <v>197</v>
      </c>
      <c r="B31" s="68" t="n">
        <f aca="false">'Overall Estimates'!C45</f>
        <v>0.0666603340469216</v>
      </c>
      <c r="C31" s="68" t="n">
        <f aca="false">'Overall Estimates'!D45</f>
        <v>0.0666603340469216</v>
      </c>
      <c r="D31" s="1" t="n">
        <v>0.695</v>
      </c>
      <c r="E31" s="1" t="n">
        <f aca="false">B31*D31</f>
        <v>0.0463289321626105</v>
      </c>
      <c r="F31" s="1" t="n">
        <f aca="false">C31*E31</f>
        <v>0.00308830209399678</v>
      </c>
    </row>
    <row r="32" customFormat="false" ht="12.8" hidden="false" customHeight="true" outlineLevel="0" collapsed="false">
      <c r="A32" s="69" t="s">
        <v>195</v>
      </c>
      <c r="B32" s="68" t="n">
        <f aca="false">'Overall Estimates'!C46</f>
        <v>0.317912164902318</v>
      </c>
      <c r="C32" s="68" t="n">
        <f aca="false">'Overall Estimates'!D46</f>
        <v>0.317912164902318</v>
      </c>
      <c r="D32" s="1" t="n">
        <v>0.695</v>
      </c>
      <c r="E32" s="1" t="n">
        <f aca="false">B32*D32</f>
        <v>0.220948954607111</v>
      </c>
      <c r="F32" s="1" t="n">
        <f aca="false">C32*E32</f>
        <v>0.0702423604920506</v>
      </c>
    </row>
    <row r="33" customFormat="false" ht="12.8" hidden="false" customHeight="true" outlineLevel="0" collapsed="false">
      <c r="A33" s="69" t="s">
        <v>2469</v>
      </c>
      <c r="B33" s="68" t="n">
        <f aca="false">'Overall Estimates'!C47</f>
        <v>0.323605219693217</v>
      </c>
      <c r="C33" s="68" t="n">
        <f aca="false">'Overall Estimates'!D47</f>
        <v>6.76701290135715</v>
      </c>
      <c r="D33" s="1" t="n">
        <v>0.695</v>
      </c>
      <c r="E33" s="1" t="n">
        <f aca="false">B33*D33</f>
        <v>0.224905627686786</v>
      </c>
      <c r="F33" s="1" t="n">
        <f aca="false">C33*E33</f>
        <v>1.52193928414431</v>
      </c>
    </row>
    <row r="34" customFormat="false" ht="12.8" hidden="false" customHeight="true" outlineLevel="0" collapsed="false">
      <c r="A34" s="69" t="s">
        <v>201</v>
      </c>
      <c r="B34" s="68" t="n">
        <f aca="false">'Overall Estimates'!C48</f>
        <v>0.0337070861085491</v>
      </c>
      <c r="C34" s="68" t="n">
        <f aca="false">'Overall Estimates'!D48</f>
        <v>0.036403652997233</v>
      </c>
      <c r="D34" s="1" t="n">
        <v>0.695</v>
      </c>
      <c r="E34" s="1" t="n">
        <f aca="false">B34*D34</f>
        <v>0.0234264248454416</v>
      </c>
      <c r="F34" s="1" t="n">
        <f aca="false">C34*E34</f>
        <v>0.000852807441039216</v>
      </c>
    </row>
    <row r="35" customFormat="false" ht="12.8" hidden="false" customHeight="true" outlineLevel="0" collapsed="false">
      <c r="A35" s="69" t="s">
        <v>2470</v>
      </c>
      <c r="B35" s="68" t="n">
        <f aca="false">'Overall Estimates'!C49</f>
        <v>1.01321645242196</v>
      </c>
      <c r="C35" s="68" t="n">
        <f aca="false">'Overall Estimates'!D49</f>
        <v>8.61251907889978</v>
      </c>
      <c r="D35" s="1" t="n">
        <v>0.695</v>
      </c>
      <c r="E35" s="1" t="n">
        <f aca="false">B35*D35</f>
        <v>0.704185434433262</v>
      </c>
      <c r="F35" s="1" t="n">
        <f aca="false">C35*E35</f>
        <v>6.0648104891398</v>
      </c>
    </row>
    <row r="36" customFormat="false" ht="12.8" hidden="false" customHeight="true" outlineLevel="0" collapsed="false">
      <c r="A36" s="69" t="s">
        <v>2471</v>
      </c>
      <c r="B36" s="68" t="n">
        <f aca="false">'Overall Estimates'!C50</f>
        <v>0.33907018969961</v>
      </c>
      <c r="C36" s="68" t="n">
        <f aca="false">'Overall Estimates'!D50</f>
        <v>0.366195804875579</v>
      </c>
      <c r="D36" s="1" t="n">
        <v>0.695</v>
      </c>
      <c r="E36" s="1" t="n">
        <f aca="false">B36*D36</f>
        <v>0.235653781841229</v>
      </c>
      <c r="F36" s="1" t="n">
        <f aca="false">C36*E36</f>
        <v>0.0862954263133229</v>
      </c>
    </row>
    <row r="37" customFormat="false" ht="12.8" hidden="false" customHeight="true" outlineLevel="0" collapsed="false">
      <c r="A37" s="69" t="s">
        <v>2472</v>
      </c>
      <c r="B37" s="68" t="n">
        <f aca="false">'Overall Estimates'!C51</f>
        <v>0.0905852566620569</v>
      </c>
      <c r="C37" s="68" t="n">
        <f aca="false">'Overall Estimates'!D51</f>
        <v>0.0978320771950215</v>
      </c>
      <c r="D37" s="1" t="n">
        <v>0.695</v>
      </c>
      <c r="E37" s="1" t="n">
        <f aca="false">B37*D37</f>
        <v>0.0629567533801295</v>
      </c>
      <c r="F37" s="1" t="n">
        <f aca="false">C37*E37</f>
        <v>0.00615918995663276</v>
      </c>
    </row>
    <row r="38" customFormat="false" ht="12.8" hidden="false" customHeight="true" outlineLevel="0" collapsed="false">
      <c r="A38" s="69" t="s">
        <v>238</v>
      </c>
      <c r="B38" s="68" t="n">
        <f aca="false">'Overall Estimates'!C52</f>
        <v>0.96401553167185</v>
      </c>
      <c r="C38" s="68" t="n">
        <f aca="false">'Overall Estimates'!D52</f>
        <v>1.9280310633437</v>
      </c>
      <c r="D38" s="1" t="n">
        <v>0.695</v>
      </c>
      <c r="E38" s="1" t="n">
        <f aca="false">B38*D38</f>
        <v>0.669990794511935</v>
      </c>
      <c r="F38" s="1" t="n">
        <f aca="false">C38*E38</f>
        <v>1.29176306397334</v>
      </c>
    </row>
    <row r="39" customFormat="false" ht="12.8" hidden="false" customHeight="true" outlineLevel="0" collapsed="false">
      <c r="A39" s="69" t="s">
        <v>2473</v>
      </c>
      <c r="B39" s="68" t="n">
        <f aca="false">'Overall Estimates'!C53</f>
        <v>0.845445485005855</v>
      </c>
      <c r="C39" s="68" t="n">
        <f aca="false">'Overall Estimates'!D53</f>
        <v>10.0197613705576</v>
      </c>
      <c r="D39" s="1" t="n">
        <v>0.695</v>
      </c>
      <c r="E39" s="1" t="n">
        <f aca="false">B39*D39</f>
        <v>0.587584612079069</v>
      </c>
      <c r="F39" s="1" t="n">
        <f aca="false">C39*E39</f>
        <v>5.88745759804391</v>
      </c>
    </row>
    <row r="40" customFormat="false" ht="12.8" hidden="false" customHeight="true" outlineLevel="0" collapsed="false">
      <c r="A40" s="69" t="s">
        <v>2474</v>
      </c>
      <c r="B40" s="68" t="n">
        <f aca="false">'Overall Estimates'!C54</f>
        <v>1.85633158134448</v>
      </c>
      <c r="C40" s="68" t="n">
        <f aca="false">'Overall Estimates'!D54</f>
        <v>2.00483810785204</v>
      </c>
      <c r="D40" s="1" t="n">
        <v>0.695</v>
      </c>
      <c r="E40" s="1" t="n">
        <f aca="false">B40*D40</f>
        <v>1.29015044903441</v>
      </c>
      <c r="F40" s="1" t="n">
        <f aca="false">C40*E40</f>
        <v>2.58654278508661</v>
      </c>
    </row>
    <row r="41" customFormat="false" ht="12.8" hidden="false" customHeight="true" outlineLevel="0" collapsed="false">
      <c r="A41" s="69" t="s">
        <v>2475</v>
      </c>
      <c r="B41" s="68" t="n">
        <f aca="false">'Overall Estimates'!C55</f>
        <v>0.677135726985295</v>
      </c>
      <c r="C41" s="68" t="n">
        <f aca="false">'Overall Estimates'!D55</f>
        <v>0.731306585144119</v>
      </c>
      <c r="D41" s="1" t="n">
        <v>0.695</v>
      </c>
      <c r="E41" s="1" t="n">
        <f aca="false">B41*D41</f>
        <v>0.47060933025478</v>
      </c>
      <c r="F41" s="1" t="n">
        <f aca="false">C41*E41</f>
        <v>0.344159702245584</v>
      </c>
    </row>
    <row r="42" customFormat="false" ht="12.8" hidden="false" customHeight="true" outlineLevel="0" collapsed="false">
      <c r="A42" s="69" t="s">
        <v>2476</v>
      </c>
      <c r="B42" s="68" t="n">
        <f aca="false">'Overall Estimates'!C56</f>
        <v>0.909327435931252</v>
      </c>
      <c r="C42" s="68" t="n">
        <f aca="false">'Overall Estimates'!D56</f>
        <v>0.982073630805752</v>
      </c>
      <c r="D42" s="1" t="n">
        <v>0.695</v>
      </c>
      <c r="E42" s="1" t="n">
        <f aca="false">B42*D42</f>
        <v>0.63198256797222</v>
      </c>
      <c r="F42" s="1" t="n">
        <f aca="false">C42*E42</f>
        <v>0.620653415134421</v>
      </c>
    </row>
    <row r="43" customFormat="false" ht="12.8" hidden="false" customHeight="true" outlineLevel="0" collapsed="false">
      <c r="A43" s="69" t="s">
        <v>2477</v>
      </c>
      <c r="B43" s="68" t="n">
        <f aca="false">'Overall Estimates'!C57</f>
        <v>0.0752102014874227</v>
      </c>
      <c r="C43" s="68" t="n">
        <f aca="false">'Overall Estimates'!D57</f>
        <v>0.0812270176064165</v>
      </c>
      <c r="D43" s="1" t="n">
        <v>0.695</v>
      </c>
      <c r="E43" s="1" t="n">
        <f aca="false">B43*D43</f>
        <v>0.0522710900337588</v>
      </c>
      <c r="F43" s="1" t="n">
        <f aca="false">C43*E43</f>
        <v>0.00424582475047871</v>
      </c>
    </row>
    <row r="44" customFormat="false" ht="12.8" hidden="false" customHeight="true" outlineLevel="0" collapsed="false">
      <c r="A44" s="69" t="s">
        <v>2478</v>
      </c>
      <c r="B44" s="68" t="n">
        <f aca="false">'Overall Estimates'!C58</f>
        <v>3.02393856141079</v>
      </c>
      <c r="C44" s="68" t="n">
        <f aca="false">'Overall Estimates'!D58</f>
        <v>3.26585364632366</v>
      </c>
      <c r="D44" s="1" t="n">
        <v>0.695</v>
      </c>
      <c r="E44" s="1" t="n">
        <f aca="false">B44*D44</f>
        <v>2.1016373001805</v>
      </c>
      <c r="F44" s="1" t="n">
        <f aca="false">C44*E44</f>
        <v>6.86363984004429</v>
      </c>
    </row>
    <row r="45" customFormat="false" ht="12.8" hidden="false" customHeight="true" outlineLevel="0" collapsed="false">
      <c r="A45" s="69" t="s">
        <v>2479</v>
      </c>
      <c r="B45" s="68" t="n">
        <f aca="false">'Overall Estimates'!C59</f>
        <v>0.559138878136841</v>
      </c>
      <c r="C45" s="68" t="n">
        <f aca="false">'Overall Estimates'!D59</f>
        <v>0.603869988387788</v>
      </c>
      <c r="D45" s="1" t="n">
        <v>0.695</v>
      </c>
      <c r="E45" s="1" t="n">
        <f aca="false">B45*D45</f>
        <v>0.388601520305105</v>
      </c>
      <c r="F45" s="1" t="n">
        <f aca="false">C45*E45</f>
        <v>0.23466479555412</v>
      </c>
    </row>
    <row r="46" customFormat="false" ht="12.8" hidden="false" customHeight="true" outlineLevel="0" collapsed="false">
      <c r="A46" s="69" t="s">
        <v>2480</v>
      </c>
      <c r="B46" s="68" t="n">
        <f aca="false">'Overall Estimates'!C60</f>
        <v>3.97888517048807</v>
      </c>
      <c r="C46" s="68" t="n">
        <f aca="false">'Overall Estimates'!D60</f>
        <v>7.95777034097614</v>
      </c>
      <c r="D46" s="1" t="n">
        <v>0.695</v>
      </c>
      <c r="E46" s="1" t="n">
        <f aca="false">B46*D46</f>
        <v>2.76532519348921</v>
      </c>
      <c r="F46" s="1" t="n">
        <f aca="false">C46*E46</f>
        <v>22.0058228079025</v>
      </c>
    </row>
    <row r="47" customFormat="false" ht="12.8" hidden="false" customHeight="true" outlineLevel="0" collapsed="false">
      <c r="A47" s="69" t="s">
        <v>2481</v>
      </c>
      <c r="B47" s="68" t="n">
        <f aca="false">'Overall Estimates'!C62</f>
        <v>1.92516487637812</v>
      </c>
      <c r="C47" s="68" t="n">
        <f aca="false">'Overall Estimates'!D62</f>
        <v>19.4041465152039</v>
      </c>
      <c r="D47" s="1" t="n">
        <v>0.695</v>
      </c>
      <c r="E47" s="1" t="n">
        <f aca="false">B47*D47</f>
        <v>1.33798958908279</v>
      </c>
      <c r="F47" s="1" t="n">
        <f aca="false">C47*E47</f>
        <v>25.9625460223799</v>
      </c>
    </row>
    <row r="48" customFormat="false" ht="12.8" hidden="false" customHeight="true" outlineLevel="0" collapsed="false">
      <c r="A48" s="69" t="s">
        <v>2482</v>
      </c>
      <c r="B48" s="68" t="n">
        <f aca="false">'Overall Estimates'!C63</f>
        <v>1.23932488916841</v>
      </c>
      <c r="C48" s="68" t="n">
        <f aca="false">'Overall Estimates'!D63</f>
        <v>1.33847088030189</v>
      </c>
      <c r="D48" s="1" t="n">
        <v>0.695</v>
      </c>
      <c r="E48" s="1" t="n">
        <f aca="false">B48*D48</f>
        <v>0.861330797972048</v>
      </c>
      <c r="F48" s="1" t="n">
        <f aca="false">C48*E48</f>
        <v>1.15286619139277</v>
      </c>
    </row>
    <row r="49" customFormat="false" ht="12.8" hidden="false" customHeight="true" outlineLevel="0" collapsed="false">
      <c r="A49" s="69" t="s">
        <v>2483</v>
      </c>
      <c r="B49" s="68" t="n">
        <f aca="false">'Overall Estimates'!C64</f>
        <v>1.98291982266946</v>
      </c>
      <c r="C49" s="68" t="n">
        <f aca="false">'Overall Estimates'!D64</f>
        <v>20.4254750097145</v>
      </c>
      <c r="D49" s="1" t="n">
        <v>0.695</v>
      </c>
      <c r="E49" s="1" t="n">
        <f aca="false">B49*D49</f>
        <v>1.37812927675528</v>
      </c>
      <c r="F49" s="1" t="n">
        <f aca="false">C49*E49</f>
        <v>28.1489451025208</v>
      </c>
    </row>
    <row r="50" customFormat="false" ht="12.8" hidden="false" customHeight="true" outlineLevel="0" collapsed="false">
      <c r="A50" s="69" t="s">
        <v>2484</v>
      </c>
      <c r="B50" s="68" t="n">
        <f aca="false">'Overall Estimates'!C65</f>
        <v>0.931386002179354</v>
      </c>
      <c r="C50" s="68" t="n">
        <f aca="false">'Overall Estimates'!D65</f>
        <v>3.5307295843793</v>
      </c>
      <c r="D50" s="1" t="n">
        <v>0.695</v>
      </c>
      <c r="E50" s="1" t="n">
        <f aca="false">B50*D50</f>
        <v>0.647313271514651</v>
      </c>
      <c r="F50" s="1" t="n">
        <f aca="false">C50*E50</f>
        <v>2.28548811809813</v>
      </c>
    </row>
    <row r="51" customFormat="false" ht="23.65" hidden="false" customHeight="true" outlineLevel="0" collapsed="false">
      <c r="A51" s="234" t="s">
        <v>2485</v>
      </c>
      <c r="B51" s="68" t="n">
        <f aca="false">'Overall Estimates'!C67</f>
        <v>2.04326773580012</v>
      </c>
      <c r="C51" s="68" t="n">
        <f aca="false">'Overall Estimates'!D67</f>
        <v>3.73145500361154</v>
      </c>
      <c r="D51" s="1" t="n">
        <v>0.695</v>
      </c>
      <c r="E51" s="1" t="n">
        <f aca="false">B51*D51</f>
        <v>1.42007107638109</v>
      </c>
      <c r="F51" s="1" t="n">
        <f aca="false">C51*E51</f>
        <v>5.29893132344623</v>
      </c>
    </row>
    <row r="52" customFormat="false" ht="12.8" hidden="false" customHeight="true" outlineLevel="0" collapsed="false">
      <c r="A52" s="69" t="s">
        <v>2486</v>
      </c>
      <c r="B52" s="68" t="n">
        <f aca="false">'Overall Estimates'!C68</f>
        <v>2.2330063680215</v>
      </c>
      <c r="C52" s="68" t="n">
        <f aca="false">'Overall Estimates'!D68</f>
        <v>2.41164687746322</v>
      </c>
      <c r="D52" s="1" t="n">
        <v>0.695</v>
      </c>
      <c r="E52" s="1" t="n">
        <f aca="false">B52*D52</f>
        <v>1.55193942577494</v>
      </c>
      <c r="F52" s="1" t="n">
        <f aca="false">C52*E52</f>
        <v>3.74272987018219</v>
      </c>
    </row>
    <row r="53" customFormat="false" ht="12.8" hidden="false" customHeight="true" outlineLevel="0" collapsed="false">
      <c r="A53" s="69" t="s">
        <v>2487</v>
      </c>
      <c r="B53" s="68" t="n">
        <f aca="false">'Overall Estimates'!C69</f>
        <v>0.959781865077528</v>
      </c>
      <c r="C53" s="68" t="n">
        <f aca="false">'Overall Estimates'!D69</f>
        <v>22.6752107898335</v>
      </c>
      <c r="D53" s="1" t="n">
        <v>0.695</v>
      </c>
      <c r="E53" s="1" t="n">
        <f aca="false">B53*D53</f>
        <v>0.667048396228882</v>
      </c>
      <c r="F53" s="1" t="n">
        <f aca="false">C53*E53</f>
        <v>15.1254629915103</v>
      </c>
    </row>
    <row r="54" customFormat="false" ht="23.65" hidden="false" customHeight="true" outlineLevel="0" collapsed="false">
      <c r="A54" s="234" t="s">
        <v>2488</v>
      </c>
      <c r="B54" s="68" t="n">
        <f aca="false">'Overall Estimates'!C70</f>
        <v>0.142080051759977</v>
      </c>
      <c r="C54" s="68" t="n">
        <f aca="false">'Overall Estimates'!D70</f>
        <v>17.033581851049</v>
      </c>
      <c r="D54" s="1" t="n">
        <v>0.695</v>
      </c>
      <c r="E54" s="1" t="n">
        <f aca="false">B54*D54</f>
        <v>0.0987456359731839</v>
      </c>
      <c r="F54" s="1" t="n">
        <f aca="false">C54*E54</f>
        <v>1.68199187278311</v>
      </c>
    </row>
    <row r="55" customFormat="false" ht="12.8" hidden="false" customHeight="true" outlineLevel="0" collapsed="false">
      <c r="A55" s="69" t="s">
        <v>217</v>
      </c>
      <c r="B55" s="68" t="n">
        <f aca="false">'Overall Estimates'!C71</f>
        <v>0.213223662521876</v>
      </c>
      <c r="C55" s="68" t="n">
        <f aca="false">'Overall Estimates'!D71</f>
        <v>0.230281555523626</v>
      </c>
      <c r="D55" s="1" t="n">
        <v>0.695</v>
      </c>
      <c r="E55" s="1" t="n">
        <f aca="false">B55*D55</f>
        <v>0.148190445452704</v>
      </c>
      <c r="F55" s="1" t="n">
        <f aca="false">C55*E55</f>
        <v>0.0341255262925876</v>
      </c>
    </row>
    <row r="56" customFormat="false" ht="12.8" hidden="false" customHeight="true" outlineLevel="0" collapsed="false">
      <c r="A56" s="69" t="s">
        <v>2489</v>
      </c>
      <c r="B56" s="68" t="n">
        <f aca="false">'Overall Estimates'!C72</f>
        <v>0.128713893552752</v>
      </c>
      <c r="C56" s="68" t="n">
        <f aca="false">'Overall Estimates'!D72</f>
        <v>22.4097888467654</v>
      </c>
      <c r="D56" s="1" t="n">
        <v>0.695</v>
      </c>
      <c r="E56" s="1" t="n">
        <f aca="false">B56*D56</f>
        <v>0.0894561560191626</v>
      </c>
      <c r="F56" s="1" t="n">
        <f aca="false">C56*E56</f>
        <v>2.00469356743273</v>
      </c>
    </row>
    <row r="57" customFormat="false" ht="23.65" hidden="false" customHeight="true" outlineLevel="0" collapsed="false">
      <c r="A57" s="234" t="s">
        <v>2490</v>
      </c>
      <c r="B57" s="68" t="n">
        <f aca="false">'Overall Estimates'!C73</f>
        <v>7.49594221411004</v>
      </c>
      <c r="C57" s="68" t="n">
        <f aca="false">'Overall Estimates'!D73</f>
        <v>8.09561759123885</v>
      </c>
      <c r="D57" s="1" t="n">
        <v>0.695</v>
      </c>
      <c r="E57" s="1" t="n">
        <f aca="false">B57*D57</f>
        <v>5.20967983880648</v>
      </c>
      <c r="F57" s="1" t="n">
        <f aca="false">C57*E57</f>
        <v>42.1755757477641</v>
      </c>
    </row>
    <row r="58" customFormat="false" ht="12.8" hidden="false" customHeight="true" outlineLevel="0" collapsed="false">
      <c r="A58" s="69" t="s">
        <v>2491</v>
      </c>
      <c r="B58" s="68" t="n">
        <f aca="false">'Overall Estimates'!C74</f>
        <v>10.1351110165966</v>
      </c>
      <c r="C58" s="68" t="n">
        <f aca="false">'Overall Estimates'!D74</f>
        <v>10.9459198979243</v>
      </c>
      <c r="D58" s="1" t="n">
        <v>0.695</v>
      </c>
      <c r="E58" s="1" t="n">
        <f aca="false">B58*D58</f>
        <v>7.04390215653463</v>
      </c>
      <c r="F58" s="1" t="n">
        <f aca="false">C58*E58</f>
        <v>77.1019887742444</v>
      </c>
    </row>
    <row r="59" customFormat="false" ht="12.8" hidden="false" customHeight="true" outlineLevel="0" collapsed="false">
      <c r="A59" s="69" t="s">
        <v>2492</v>
      </c>
      <c r="B59" s="68" t="n">
        <f aca="false">'Overall Estimates'!C75</f>
        <v>39.7888517048807</v>
      </c>
      <c r="C59" s="68" t="n">
        <f aca="false">'Overall Estimates'!D75</f>
        <v>68.4822273101474</v>
      </c>
      <c r="D59" s="1" t="n">
        <v>0.695</v>
      </c>
      <c r="E59" s="1" t="n">
        <f aca="false">B59*D59</f>
        <v>27.6532519348921</v>
      </c>
      <c r="F59" s="1" t="n">
        <f aca="false">C59*E59</f>
        <v>1893.75628487005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Roman,Regular"&amp;12ffffff&amp;A</oddHeader>
    <oddFooter>&amp;C&amp;"Times New Roman,Regular"&amp;12ffffffPage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15625" defaultRowHeight="12.8" customHeight="true" zeroHeight="false" outlineLevelRow="0" outlineLevelCol="0"/>
  <cols>
    <col collapsed="false" customWidth="true" hidden="false" outlineLevel="0" max="1" min="1" style="1" width="15.41"/>
    <col collapsed="false" customWidth="true" hidden="false" outlineLevel="0" max="2" min="2" style="1" width="15.93"/>
    <col collapsed="false" customWidth="true" hidden="false" outlineLevel="0" max="3" min="3" style="1" width="9.14"/>
    <col collapsed="false" customWidth="true" hidden="false" outlineLevel="0" max="4" min="4" style="1" width="16.77"/>
    <col collapsed="false" customWidth="true" hidden="false" outlineLevel="0" max="5" min="5" style="1" width="14.21"/>
    <col collapsed="false" customWidth="true" hidden="false" outlineLevel="0" max="6" min="6" style="1" width="14.57"/>
    <col collapsed="false" customWidth="true" hidden="false" outlineLevel="0" max="7" min="7" style="1" width="12.88"/>
    <col collapsed="false" customWidth="true" hidden="false" outlineLevel="0" max="8" min="8" style="1" width="13.2"/>
    <col collapsed="false" customWidth="true" hidden="false" outlineLevel="0" max="9" min="9" style="1" width="13.38"/>
  </cols>
  <sheetData>
    <row r="1" customFormat="false" ht="41" hidden="false" customHeight="true" outlineLevel="0" collapsed="false">
      <c r="A1" s="134" t="s">
        <v>2493</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c r="IW1" s="134"/>
    </row>
    <row r="2" customFormat="false" ht="68.65" hidden="false" customHeight="true" outlineLevel="0" collapsed="false">
      <c r="A2" s="134"/>
      <c r="B2" s="134" t="s">
        <v>450</v>
      </c>
      <c r="C2" s="134" t="s">
        <v>119</v>
      </c>
      <c r="D2" s="134" t="s">
        <v>2494</v>
      </c>
      <c r="E2" s="134" t="s">
        <v>2495</v>
      </c>
      <c r="F2" s="134" t="s">
        <v>2496</v>
      </c>
      <c r="G2" s="134" t="s">
        <v>2497</v>
      </c>
      <c r="H2" s="134" t="s">
        <v>2498</v>
      </c>
      <c r="I2" s="134" t="s">
        <v>2499</v>
      </c>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134"/>
      <c r="DI2" s="134"/>
      <c r="DJ2" s="134"/>
      <c r="DK2" s="134"/>
      <c r="DL2" s="134"/>
      <c r="DM2" s="134"/>
      <c r="DN2" s="134"/>
      <c r="DO2" s="134"/>
      <c r="DP2" s="134"/>
      <c r="DQ2" s="134"/>
      <c r="DR2" s="134"/>
      <c r="DS2" s="134"/>
      <c r="DT2" s="134"/>
      <c r="DU2" s="134"/>
      <c r="DV2" s="134"/>
      <c r="DW2" s="134"/>
      <c r="DX2" s="134"/>
      <c r="DY2" s="134"/>
      <c r="DZ2" s="134"/>
      <c r="EA2" s="134"/>
      <c r="EB2" s="134"/>
      <c r="EC2" s="134"/>
      <c r="ED2" s="134"/>
      <c r="EE2" s="134"/>
      <c r="EF2" s="134"/>
      <c r="EG2" s="134"/>
      <c r="EH2" s="134"/>
      <c r="EI2" s="134"/>
      <c r="EJ2" s="134"/>
      <c r="EK2" s="134"/>
      <c r="EL2" s="134"/>
      <c r="EM2" s="134"/>
      <c r="EN2" s="134"/>
      <c r="EO2" s="134"/>
      <c r="EP2" s="134"/>
      <c r="EQ2" s="134"/>
      <c r="ER2" s="134"/>
      <c r="ES2" s="134"/>
      <c r="ET2" s="134"/>
      <c r="EU2" s="134"/>
      <c r="EV2" s="134"/>
      <c r="EW2" s="134"/>
      <c r="EX2" s="134"/>
      <c r="EY2" s="134"/>
      <c r="EZ2" s="134"/>
      <c r="FA2" s="134"/>
      <c r="FB2" s="134"/>
      <c r="FC2" s="134"/>
      <c r="FD2" s="134"/>
      <c r="FE2" s="134"/>
      <c r="FF2" s="134"/>
      <c r="FG2" s="134"/>
      <c r="FH2" s="134"/>
      <c r="FI2" s="134"/>
      <c r="FJ2" s="134"/>
      <c r="FK2" s="134"/>
      <c r="FL2" s="134"/>
      <c r="FM2" s="134"/>
      <c r="FN2" s="134"/>
      <c r="FO2" s="134"/>
      <c r="FP2" s="134"/>
      <c r="FQ2" s="134"/>
      <c r="FR2" s="134"/>
      <c r="FS2" s="134"/>
      <c r="FT2" s="134"/>
      <c r="FU2" s="134"/>
      <c r="FV2" s="134"/>
      <c r="FW2" s="134"/>
      <c r="FX2" s="134"/>
      <c r="FY2" s="134"/>
      <c r="FZ2" s="134"/>
      <c r="GA2" s="134"/>
      <c r="GB2" s="134"/>
      <c r="GC2" s="134"/>
      <c r="GD2" s="134"/>
      <c r="GE2" s="134"/>
      <c r="GF2" s="134"/>
      <c r="GG2" s="134"/>
      <c r="GH2" s="134"/>
      <c r="GI2" s="134"/>
      <c r="GJ2" s="134"/>
      <c r="GK2" s="134"/>
      <c r="GL2" s="134"/>
      <c r="GM2" s="134"/>
      <c r="GN2" s="134"/>
      <c r="GO2" s="134"/>
      <c r="GP2" s="134"/>
      <c r="GQ2" s="134"/>
      <c r="GR2" s="134"/>
      <c r="GS2" s="134"/>
      <c r="GT2" s="134"/>
      <c r="GU2" s="134"/>
      <c r="GV2" s="134"/>
      <c r="GW2" s="134"/>
      <c r="GX2" s="134"/>
      <c r="GY2" s="134"/>
      <c r="GZ2" s="134"/>
      <c r="HA2" s="134"/>
      <c r="HB2" s="134"/>
      <c r="HC2" s="134"/>
      <c r="HD2" s="134"/>
      <c r="HE2" s="134"/>
      <c r="HF2" s="134"/>
      <c r="HG2" s="134"/>
      <c r="HH2" s="134"/>
      <c r="HI2" s="134"/>
      <c r="HJ2" s="134"/>
      <c r="HK2" s="134"/>
      <c r="HL2" s="134"/>
      <c r="HM2" s="134"/>
      <c r="HN2" s="134"/>
      <c r="HO2" s="134"/>
      <c r="HP2" s="134"/>
      <c r="HQ2" s="134"/>
      <c r="HR2" s="134"/>
      <c r="HS2" s="134"/>
      <c r="HT2" s="134"/>
      <c r="HU2" s="134"/>
      <c r="HV2" s="134"/>
      <c r="HW2" s="134"/>
      <c r="HX2" s="134"/>
      <c r="HY2" s="134"/>
      <c r="HZ2" s="134"/>
      <c r="IA2" s="134"/>
      <c r="IB2" s="134"/>
      <c r="IC2" s="134"/>
      <c r="ID2" s="134"/>
      <c r="IE2" s="134"/>
      <c r="IF2" s="134"/>
      <c r="IG2" s="134"/>
      <c r="IH2" s="134"/>
      <c r="II2" s="134"/>
      <c r="IJ2" s="134"/>
      <c r="IK2" s="134"/>
      <c r="IL2" s="134"/>
      <c r="IM2" s="134"/>
      <c r="IN2" s="134"/>
      <c r="IO2" s="134"/>
      <c r="IP2" s="134"/>
      <c r="IQ2" s="134"/>
      <c r="IR2" s="134"/>
      <c r="IS2" s="134"/>
      <c r="IT2" s="134"/>
      <c r="IU2" s="134"/>
      <c r="IV2" s="134"/>
      <c r="IW2" s="134"/>
    </row>
    <row r="3" customFormat="false" ht="12.8" hidden="false" customHeight="true" outlineLevel="0" collapsed="false">
      <c r="A3" s="1" t="s">
        <v>20</v>
      </c>
      <c r="B3" s="235" t="n">
        <f aca="false">'FAO livestock data U.S.'!G7</f>
        <v>369</v>
      </c>
      <c r="C3" s="1" t="n">
        <v>1</v>
      </c>
      <c r="D3" s="236" t="n">
        <v>1098</v>
      </c>
      <c r="E3" s="196" t="n">
        <f aca="false">D3+Mortality!E4</f>
        <v>1135.29350204314</v>
      </c>
      <c r="F3" s="121" t="n">
        <f aca="false">'Percent retail from FAO yield'!G2</f>
        <v>0.66</v>
      </c>
      <c r="H3" s="122" t="n">
        <f aca="false">B3*C3*F3/D3</f>
        <v>0.221803278688525</v>
      </c>
      <c r="I3" s="237" t="n">
        <f aca="false">B3*C3*F3/E3</f>
        <v>0.214517214765795</v>
      </c>
    </row>
    <row r="4" customFormat="false" ht="12.8" hidden="false" customHeight="true" outlineLevel="0" collapsed="false">
      <c r="A4" s="1" t="s">
        <v>21</v>
      </c>
      <c r="B4" s="235" t="n">
        <f aca="false">'FAO livestock data U.S.'!G8</f>
        <v>2.095</v>
      </c>
      <c r="C4" s="1" t="n">
        <v>1.6</v>
      </c>
      <c r="D4" s="236" t="n">
        <v>49</v>
      </c>
      <c r="E4" s="196" t="n">
        <f aca="false">D4+Mortality!E5</f>
        <v>50.5444349952163</v>
      </c>
      <c r="F4" s="121" t="n">
        <f aca="false">'Percent retail from FAO yield'!G4</f>
        <v>0.839</v>
      </c>
      <c r="H4" s="122" t="n">
        <f aca="false">B4*C4*F4/D4</f>
        <v>0.0573944489795918</v>
      </c>
      <c r="I4" s="237" t="n">
        <f aca="false">B4*C4*F4/E4</f>
        <v>0.055640705060135</v>
      </c>
    </row>
    <row r="5" customFormat="false" ht="12.8" hidden="false" customHeight="true" outlineLevel="0" collapsed="false">
      <c r="A5" s="1" t="s">
        <v>487</v>
      </c>
      <c r="B5" s="235" t="n">
        <f aca="false">'FAO livestock data U.S.'!G12</f>
        <v>10926.0021282256</v>
      </c>
      <c r="C5" s="1" t="n">
        <v>3</v>
      </c>
      <c r="D5" s="238" t="n">
        <f aca="false">5.5*365</f>
        <v>2007.5</v>
      </c>
      <c r="E5" s="196" t="n">
        <f aca="false">D5+Mortality!E6</f>
        <v>2018.73669889312</v>
      </c>
      <c r="F5" s="121" t="n">
        <f aca="false">'Percent retail from FAO yield'!G9</f>
        <v>0.949293535351624</v>
      </c>
      <c r="H5" s="122" t="n">
        <f aca="false">(B5*C5*F5)/D5</f>
        <v>15.4998503425594</v>
      </c>
      <c r="I5" s="237" t="n">
        <f aca="false">B5*C5*F5/E5</f>
        <v>15.4135750242956</v>
      </c>
    </row>
    <row r="6" customFormat="false" ht="12.8" hidden="false" customHeight="true" outlineLevel="0" collapsed="false">
      <c r="A6" s="1" t="s">
        <v>2500</v>
      </c>
      <c r="B6" s="235" t="n">
        <f aca="false">'FAO livestock data U.S.'!G12</f>
        <v>10926.0021282256</v>
      </c>
      <c r="C6" s="1" t="n">
        <v>3</v>
      </c>
      <c r="D6" s="238" t="n">
        <f aca="false">5.5*365</f>
        <v>2007.5</v>
      </c>
      <c r="E6" s="196" t="n">
        <f aca="false">D6+Mortality!E6</f>
        <v>2018.73669889312</v>
      </c>
      <c r="F6" s="121" t="n">
        <f aca="false">'Percent retail from FAO yield'!G9</f>
        <v>0.949293535351624</v>
      </c>
      <c r="G6" s="47" t="n">
        <f aca="false">1/('Milk solids proportion'!B11)</f>
        <v>0.609756097560976</v>
      </c>
      <c r="H6" s="122" t="n">
        <f aca="false">(B6*C6*F6*G6)/D6</f>
        <v>9.45112825765814</v>
      </c>
      <c r="I6" s="237" t="n">
        <f aca="false">B6*C6*F6*G6/E6</f>
        <v>9.3985213562778</v>
      </c>
    </row>
    <row r="7" customFormat="false" ht="12.8" hidden="false" customHeight="true" outlineLevel="0" collapsed="false">
      <c r="A7" s="1" t="s">
        <v>2501</v>
      </c>
      <c r="B7" s="235" t="n">
        <f aca="false">'FAO livestock data U.S.'!G12</f>
        <v>10926.0021282256</v>
      </c>
      <c r="C7" s="1" t="n">
        <v>3</v>
      </c>
      <c r="D7" s="238" t="n">
        <f aca="false">5.5*365</f>
        <v>2007.5</v>
      </c>
      <c r="E7" s="196" t="n">
        <f aca="false">D7+Mortality!E6</f>
        <v>2018.73669889312</v>
      </c>
      <c r="F7" s="121" t="n">
        <f aca="false">'Percent retail from FAO yield'!G9</f>
        <v>0.949293535351624</v>
      </c>
      <c r="G7" s="47" t="n">
        <f aca="false">1/('Milk solids proportion'!B7)</f>
        <v>0.218818380743983</v>
      </c>
      <c r="H7" s="122" t="n">
        <f aca="false">B7*C7*F7*G7/D7</f>
        <v>3.3916521537329</v>
      </c>
      <c r="I7" s="237" t="n">
        <f aca="false">B7*C7*F7*G7/E7</f>
        <v>3.37277352829225</v>
      </c>
    </row>
    <row r="8" customFormat="false" ht="12.8" hidden="false" customHeight="true" outlineLevel="0" collapsed="false">
      <c r="A8" s="1" t="s">
        <v>2502</v>
      </c>
      <c r="B8" s="235" t="n">
        <f aca="false">'FAO livestock data U.S.'!G12</f>
        <v>10926.0021282256</v>
      </c>
      <c r="C8" s="1" t="n">
        <v>3</v>
      </c>
      <c r="D8" s="238" t="n">
        <f aca="false">5.5*365</f>
        <v>2007.5</v>
      </c>
      <c r="E8" s="196" t="n">
        <f aca="false">D8+Mortality!E6</f>
        <v>2018.73669889312</v>
      </c>
      <c r="F8" s="121" t="n">
        <f aca="false">'Percent retail from FAO yield'!G9</f>
        <v>0.949293535351624</v>
      </c>
      <c r="G8" s="47" t="n">
        <f aca="false">1/('Milk solids proportion'!B17)</f>
        <v>0.880281690140845</v>
      </c>
      <c r="H8" s="122" t="n">
        <f aca="false">B8*C8*F8*G8/D8</f>
        <v>13.6442344564783</v>
      </c>
      <c r="I8" s="237" t="n">
        <f aca="false">B8*C8*F8*G8/E8</f>
        <v>13.5682878734997</v>
      </c>
    </row>
    <row r="9" customFormat="false" ht="12.8" hidden="false" customHeight="true" outlineLevel="0" collapsed="false">
      <c r="A9" s="1" t="s">
        <v>2503</v>
      </c>
      <c r="B9" s="235" t="n">
        <f aca="false">'FAO livestock data U.S.'!G12</f>
        <v>10926.0021282256</v>
      </c>
      <c r="C9" s="1" t="n">
        <v>3</v>
      </c>
      <c r="D9" s="238" t="n">
        <f aca="false">5.5*365</f>
        <v>2007.5</v>
      </c>
      <c r="E9" s="196" t="n">
        <f aca="false">D9+Mortality!E6</f>
        <v>2018.73669889312</v>
      </c>
      <c r="F9" s="121" t="n">
        <f aca="false">'Percent retail from FAO yield'!G9</f>
        <v>0.949293535351624</v>
      </c>
      <c r="G9" s="47" t="n">
        <f aca="false">1/('Milk solids proportion'!B5)</f>
        <v>0.158982511923688</v>
      </c>
      <c r="H9" s="122" t="n">
        <f aca="false">B9*C9*F9*G9/D9</f>
        <v>2.46420514190133</v>
      </c>
      <c r="I9" s="237" t="n">
        <f aca="false">B9*C9*F9*G9/E9</f>
        <v>2.45048887508674</v>
      </c>
    </row>
    <row r="10" customFormat="false" ht="12.8" hidden="false" customHeight="true" outlineLevel="0" collapsed="false">
      <c r="A10" s="1" t="s">
        <v>25</v>
      </c>
      <c r="B10" s="239" t="n">
        <f aca="false">'FAO livestock data U.S.'!G9</f>
        <v>97</v>
      </c>
      <c r="C10" s="1" t="n">
        <v>1</v>
      </c>
      <c r="D10" s="236" t="n">
        <v>168</v>
      </c>
      <c r="E10" s="196" t="n">
        <f aca="false">D10+Mortality!E7</f>
        <v>176.110325030758</v>
      </c>
      <c r="F10" s="121" t="n">
        <f aca="false">'Percent retail from FAO yield'!G3</f>
        <v>0.677</v>
      </c>
      <c r="G10" s="121"/>
      <c r="H10" s="122" t="n">
        <f aca="false">B10*C10*F10/D10</f>
        <v>0.390886904761905</v>
      </c>
      <c r="I10" s="237" t="n">
        <f aca="false">B10*C10*F10/E10</f>
        <v>0.372885576064498</v>
      </c>
    </row>
    <row r="11" customFormat="false" ht="12.8" hidden="false" customHeight="true" outlineLevel="0" collapsed="false">
      <c r="A11" s="1" t="s">
        <v>22</v>
      </c>
      <c r="B11" s="239" t="n">
        <f aca="false">'FAO livestock data U.S.'!G6</f>
        <v>17.077</v>
      </c>
      <c r="C11" s="1" t="n">
        <v>1</v>
      </c>
      <c r="D11" s="236" t="n">
        <v>680</v>
      </c>
      <c r="E11" s="196" t="n">
        <f aca="false">D11+Mortality!E8+1</f>
        <v>770.87318574989</v>
      </c>
      <c r="F11" s="121" t="n">
        <f aca="false">'Percent retail from FAO yield'!G8</f>
        <v>0.985</v>
      </c>
      <c r="G11" s="121"/>
      <c r="H11" s="122" t="n">
        <f aca="false">B11*C11*F11/D11</f>
        <v>0.0247365367647059</v>
      </c>
      <c r="I11" s="237" t="n">
        <f aca="false">B11*C11*F11/E11</f>
        <v>0.021820508627028</v>
      </c>
    </row>
    <row r="12" customFormat="false" ht="12.8" hidden="false" customHeight="true" outlineLevel="0" collapsed="false">
      <c r="A12" s="1" t="s">
        <v>26</v>
      </c>
      <c r="B12" s="239" t="n">
        <f aca="false">'FAO livestock data U.S.'!G10</f>
        <v>11.46</v>
      </c>
      <c r="C12" s="1" t="n">
        <v>1</v>
      </c>
      <c r="D12" s="236" t="n">
        <v>137</v>
      </c>
      <c r="E12" s="196" t="n">
        <f aca="false">D12+Mortality!E9</f>
        <v>141.728728793833</v>
      </c>
      <c r="F12" s="121" t="n">
        <f aca="false">'Percent retail from FAO yield'!G7</f>
        <v>0.606</v>
      </c>
      <c r="G12" s="121"/>
      <c r="H12" s="122" t="n">
        <f aca="false">B12*C12*F12/D12</f>
        <v>0.0506916788321168</v>
      </c>
      <c r="I12" s="237" t="n">
        <f aca="false">B12*C12*F12/E12</f>
        <v>0.0490003689379185</v>
      </c>
    </row>
    <row r="13" customFormat="false" ht="12.8" hidden="false" customHeight="true" outlineLevel="0" collapsed="false">
      <c r="A13" s="1" t="s">
        <v>368</v>
      </c>
      <c r="B13" s="239" t="n">
        <f aca="false">'Fish and shellfish calculation'!B42</f>
        <v>0.605843849279514</v>
      </c>
      <c r="D13" s="236" t="n">
        <v>326.1215</v>
      </c>
      <c r="E13" s="1" t="n">
        <v>358.3</v>
      </c>
      <c r="F13" s="121" t="n">
        <f aca="false">'Fish and shellfish calculation'!C42</f>
        <v>0.37</v>
      </c>
      <c r="H13" s="122" t="n">
        <f aca="false">B13*F13/D13</f>
        <v>0.000687358006857629</v>
      </c>
      <c r="I13" s="237" t="n">
        <f aca="false">B13*F13/E13</f>
        <v>0.000625627195739381</v>
      </c>
    </row>
    <row r="14" customFormat="false" ht="12.8" hidden="false" customHeight="true" outlineLevel="0" collapsed="false">
      <c r="A14" s="1" t="s">
        <v>215</v>
      </c>
      <c r="B14" s="239" t="e">
        <f aca="false">#REF!</f>
        <v>#REF!</v>
      </c>
      <c r="D14" s="236" t="n">
        <v>149.84</v>
      </c>
      <c r="E14" s="1" t="n">
        <v>162.7</v>
      </c>
      <c r="F14" s="121" t="e">
        <f aca="false">#REF!</f>
        <v>#REF!</v>
      </c>
      <c r="H14" s="122" t="e">
        <f aca="false">B14*F14/D14</f>
        <v>#REF!</v>
      </c>
      <c r="I14" s="237" t="e">
        <f aca="false">B14*F14/E14</f>
        <v>#REF!</v>
      </c>
    </row>
    <row r="15" customFormat="false" ht="12.8" hidden="false" customHeight="true" outlineLevel="0" collapsed="false">
      <c r="A15" s="1" t="s">
        <v>217</v>
      </c>
      <c r="B15" s="239" t="n">
        <f aca="false">'Fish and shellfish calculation'!B41</f>
        <v>2</v>
      </c>
      <c r="D15" s="236" t="n">
        <v>1</v>
      </c>
      <c r="E15" s="1" t="n">
        <v>1</v>
      </c>
      <c r="F15" s="121" t="n">
        <f aca="false">'Fish and shellfish calculation'!C41</f>
        <v>0.5409</v>
      </c>
      <c r="H15" s="122" t="n">
        <f aca="false">B15*F15/D15</f>
        <v>1.0818</v>
      </c>
      <c r="I15" s="237" t="n">
        <f aca="false">B15*F15/E15</f>
        <v>1.0818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Roman,Regular"&amp;12ffffff&amp;A</oddHeader>
    <oddFooter>&amp;C&amp;"Times New Roman,Regular"&amp;12ffffffPage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11498</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2022-12-20T15:49:41Z</dcterms:created>
  <dc:creator>Jo</dc:creator>
  <dc:description/>
  <dc:language>en-US</dc:language>
  <cp:lastModifiedBy/>
  <dcterms:modified xsi:type="dcterms:W3CDTF">2026-02-25T00:36:49Z</dcterms:modified>
  <cp:revision>308</cp:revision>
  <dc:subject/>
  <dc:title/>
</cp:coreProperties>
</file>

<file path=docProps/custom.xml><?xml version="1.0" encoding="utf-8"?>
<Properties xmlns="http://schemas.openxmlformats.org/officeDocument/2006/custom-properties" xmlns:vt="http://schemas.openxmlformats.org/officeDocument/2006/docPropsVTypes"/>
</file>